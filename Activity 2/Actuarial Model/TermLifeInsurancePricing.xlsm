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ychong4\Desktop\"/>
    </mc:Choice>
  </mc:AlternateContent>
  <xr:revisionPtr revIDLastSave="0" documentId="13_ncr:1_{72C73ADB-26F5-429A-9AD4-8BC775D243D1}" xr6:coauthVersionLast="47" xr6:coauthVersionMax="47" xr10:uidLastSave="{00000000-0000-0000-0000-000000000000}"/>
  <bookViews>
    <workbookView xWindow="30612" yWindow="-108" windowWidth="30936" windowHeight="16896" tabRatio="817" activeTab="1" xr2:uid="{00000000-000D-0000-FFFF-FFFF00000000}"/>
  </bookViews>
  <sheets>
    <sheet name="Assumptions" sheetId="1" r:id="rId1"/>
    <sheet name="PremiumCalculation" sheetId="6" r:id="rId2"/>
    <sheet name="PremiumTable" sheetId="10" r:id="rId3"/>
    <sheet name="SensitivityAnalysis" sheetId="7" r:id="rId4"/>
    <sheet name="PolicyholdersSimulation" sheetId="8" r:id="rId5"/>
    <sheet name="MotalityTable_MaleSmoker" sheetId="2" r:id="rId6"/>
    <sheet name="MortalityTable_FemaleSmoker" sheetId="3" r:id="rId7"/>
    <sheet name="MortalityTable_MaleNonsmoker" sheetId="4" r:id="rId8"/>
    <sheet name="MortalityTable_FemaleNonSmoker" sheetId="5" r:id="rId9"/>
  </sheets>
  <definedNames>
    <definedName name="_xlchart.v1.0" hidden="1">PolicyholdersSimulation!$C$26:$C$525</definedName>
    <definedName name="_xlchart.v1.1" hidden="1">PolicyholdersSimulation!$J$26:$J$525</definedName>
    <definedName name="face_amount">Assumptions!$D$4</definedName>
    <definedName name="FemaleNonsmoker">MortalityTable_FemaleNonSmoker!$A$24:$Z$102</definedName>
    <definedName name="FemaleSmoker">MortalityTable_FemaleSmoker!$A$24:$Z$102</definedName>
    <definedName name="interest_rate">Assumptions!$D$10</definedName>
    <definedName name="issue_expense">Assumptions!$D$17</definedName>
    <definedName name="lapse_rate">Assumptions!$D$11</definedName>
    <definedName name="maintenance_expense">Assumptions!$D$18</definedName>
    <definedName name="MaleNonsmoker">MortalityTable_MaleNonsmoker!$A$24:$Z$102</definedName>
    <definedName name="MaleSmoker">MotalityTable_MaleSmoker!$A$24:$Z$102</definedName>
    <definedName name="num_max">PolicyholdersSimulation!$B$2</definedName>
    <definedName name="num_min">PolicyholdersSimulation!$B$1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7" l="1"/>
  <c r="G23" i="7"/>
  <c r="G22" i="7"/>
  <c r="G21" i="7"/>
  <c r="G20" i="7"/>
  <c r="C21" i="7"/>
  <c r="C16" i="7"/>
  <c r="C15" i="7"/>
  <c r="C14" i="7"/>
  <c r="C13" i="7"/>
  <c r="C12" i="7"/>
  <c r="G13" i="7"/>
  <c r="G12" i="7"/>
  <c r="G16" i="7"/>
  <c r="G15" i="7"/>
  <c r="G14" i="7"/>
  <c r="G8" i="7"/>
  <c r="G7" i="7"/>
  <c r="G6" i="7"/>
  <c r="G5" i="7"/>
  <c r="G4" i="7"/>
  <c r="C4" i="7"/>
  <c r="C5" i="7"/>
  <c r="C7" i="7"/>
  <c r="C8" i="7"/>
  <c r="C6" i="7"/>
  <c r="M26" i="8" l="1"/>
  <c r="F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3"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L27" i="8" l="1"/>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3"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26" i="8"/>
  <c r="J27" i="8" l="1"/>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26"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B7" i="8" l="1"/>
  <c r="D26" i="6" l="1"/>
  <c r="D18" i="1" l="1"/>
  <c r="M9" i="6" s="1"/>
  <c r="D17" i="1"/>
  <c r="L9" i="6" s="1"/>
  <c r="H10" i="6"/>
  <c r="H11" i="6"/>
  <c r="H12" i="6"/>
  <c r="H13" i="6"/>
  <c r="H14" i="6"/>
  <c r="H15" i="6"/>
  <c r="H16" i="6"/>
  <c r="H17" i="6"/>
  <c r="H18" i="6"/>
  <c r="H9" i="6"/>
  <c r="J9" i="6" s="1"/>
  <c r="I10" i="6" s="1"/>
  <c r="E10" i="6"/>
  <c r="E11" i="6"/>
  <c r="E12" i="6"/>
  <c r="E13" i="6"/>
  <c r="E14" i="6"/>
  <c r="E15" i="6"/>
  <c r="E16" i="6"/>
  <c r="E17" i="6"/>
  <c r="E18" i="6"/>
  <c r="E9" i="6"/>
  <c r="D8" i="1"/>
  <c r="C10" i="6"/>
  <c r="C11" i="6"/>
  <c r="C12" i="6"/>
  <c r="C13" i="6"/>
  <c r="C14" i="6"/>
  <c r="C15" i="6"/>
  <c r="C16" i="6"/>
  <c r="C17" i="6"/>
  <c r="C18" i="6"/>
  <c r="C9" i="6"/>
  <c r="C4" i="6"/>
  <c r="B9" i="6"/>
  <c r="B12" i="6"/>
  <c r="J10" i="6" l="1"/>
  <c r="I11" i="6" s="1"/>
  <c r="J11" i="6" s="1"/>
  <c r="I12" i="6" s="1"/>
  <c r="J12" i="6" s="1"/>
  <c r="I13" i="6" s="1"/>
  <c r="J13" i="6" s="1"/>
  <c r="I14" i="6" s="1"/>
  <c r="J14" i="6" s="1"/>
  <c r="I15" i="6" s="1"/>
  <c r="J15" i="6" s="1"/>
  <c r="I16" i="6" s="1"/>
  <c r="J16" i="6" s="1"/>
  <c r="I17" i="6" s="1"/>
  <c r="J17" i="6" s="1"/>
  <c r="I18" i="6" s="1"/>
  <c r="J18" i="6" s="1"/>
  <c r="G9" i="6"/>
  <c r="F10" i="6" s="1"/>
  <c r="D12" i="6"/>
  <c r="B11" i="6"/>
  <c r="B18" i="6"/>
  <c r="B13" i="6"/>
  <c r="B16" i="6"/>
  <c r="B10" i="6"/>
  <c r="B17" i="6"/>
  <c r="B15" i="6"/>
  <c r="B14" i="6"/>
  <c r="D23" i="6" l="1"/>
  <c r="M10" i="6"/>
  <c r="G10" i="6"/>
  <c r="F11" i="6" s="1"/>
  <c r="D10" i="6"/>
  <c r="K10" i="6" s="1"/>
  <c r="D14" i="6"/>
  <c r="D9" i="6"/>
  <c r="K9" i="6" s="1"/>
  <c r="D16" i="6"/>
  <c r="D15" i="6"/>
  <c r="D13" i="6"/>
  <c r="D18" i="6"/>
  <c r="D17" i="6"/>
  <c r="D11" i="6"/>
  <c r="K11" i="6" l="1"/>
  <c r="M11" i="6"/>
  <c r="G11" i="6"/>
  <c r="F12" i="6" s="1"/>
  <c r="K12" i="6" s="1"/>
  <c r="M12" i="6" l="1"/>
  <c r="G12" i="6"/>
  <c r="F13" i="6" s="1"/>
  <c r="K13" i="6" s="1"/>
  <c r="M13" i="6" l="1"/>
  <c r="G13" i="6"/>
  <c r="F14" i="6" s="1"/>
  <c r="K14" i="6" s="1"/>
  <c r="M14" i="6" l="1"/>
  <c r="G14" i="6"/>
  <c r="F15" i="6" s="1"/>
  <c r="K15" i="6" s="1"/>
  <c r="M15" i="6" l="1"/>
  <c r="G15" i="6"/>
  <c r="F16" i="6" s="1"/>
  <c r="K16" i="6" s="1"/>
  <c r="M16" i="6" l="1"/>
  <c r="G16" i="6"/>
  <c r="F17" i="6" s="1"/>
  <c r="K17" i="6" s="1"/>
  <c r="M17" i="6" l="1"/>
  <c r="G17" i="6"/>
  <c r="F18" i="6" s="1"/>
  <c r="D28" i="6" s="1"/>
  <c r="K18" i="6" l="1"/>
  <c r="D21" i="6" s="1"/>
  <c r="M18" i="6"/>
  <c r="D24" i="6" s="1"/>
  <c r="D25" i="6" s="1"/>
  <c r="G18" i="6"/>
  <c r="D29" i="6" l="1"/>
  <c r="C32" i="7" l="1"/>
  <c r="C31" i="7"/>
  <c r="G32" i="7"/>
  <c r="G31" i="7"/>
  <c r="G30" i="7"/>
  <c r="G29" i="7"/>
  <c r="G28" i="7"/>
  <c r="C23" i="7"/>
  <c r="C24" i="7"/>
  <c r="C20" i="7"/>
  <c r="C22" i="7"/>
  <c r="C29" i="7" l="1"/>
  <c r="C28" i="7"/>
  <c r="C30" i="7"/>
</calcChain>
</file>

<file path=xl/sharedStrings.xml><?xml version="1.0" encoding="utf-8"?>
<sst xmlns="http://schemas.openxmlformats.org/spreadsheetml/2006/main" count="1517" uniqueCount="539">
  <si>
    <t>Assumptions</t>
  </si>
  <si>
    <t>Face amount</t>
  </si>
  <si>
    <t>Gender</t>
  </si>
  <si>
    <t>Male</t>
  </si>
  <si>
    <t>Age</t>
  </si>
  <si>
    <t>Smoker/Nonsmoker</t>
  </si>
  <si>
    <t>Smoker</t>
  </si>
  <si>
    <t>Nonsmoker</t>
  </si>
  <si>
    <t>Annual Interest rate</t>
  </si>
  <si>
    <t>Annual lapse rate</t>
  </si>
  <si>
    <t>Issue</t>
  </si>
  <si>
    <t>Maintenance</t>
  </si>
  <si>
    <t>Table Name:</t>
  </si>
  <si>
    <t>2015 VBT Smoker Distinct Male Smoker ALB</t>
  </si>
  <si>
    <t>Table Identity:</t>
  </si>
  <si>
    <t>3271</t>
  </si>
  <si>
    <t>Provider Domain:</t>
  </si>
  <si>
    <t>soa.org</t>
  </si>
  <si>
    <t>Provider Name:</t>
  </si>
  <si>
    <t>American Academy of Actuaries along with the Society of Actuaries</t>
  </si>
  <si>
    <t>Table Reference:</t>
  </si>
  <si>
    <t>Society of Actuaries website, 2015 Valuation Basic Tables. Accessed: March, 2016 from https://www.soa.org/resources/experience-studies/2015/2015-valuation-basic-tables/</t>
  </si>
  <si>
    <t>Content Type:</t>
  </si>
  <si>
    <t>Insured Lives Mortality</t>
  </si>
  <si>
    <t>Table Description:</t>
  </si>
  <si>
    <t>2015 Valuation Basic Table (VBT) Smoker Distinct Table - Male, Smoker, Age Last Birthday. Minimum Age: 18. Maximum Age: 95.</t>
  </si>
  <si>
    <t>EffDate:</t>
  </si>
  <si>
    <t/>
  </si>
  <si>
    <t>Comments:</t>
  </si>
  <si>
    <t>Study Data: The 2015 VBT was developed based on the mortality experience from the SOA Individual Life Experience Committee studies from the 2002-2009 study period. Additional data from other sources was used to supplement the 2002-2009 experience at younger and older ages where industry experience was sparse. To develop the 2015 VBT table, the mortality was projected from March 1st, 2006 to July 1st, 2015, using recent mortality improvement trends. Data Certified: 07/2018.</t>
  </si>
  <si>
    <t>Keywords:</t>
  </si>
  <si>
    <t>Select,Insured Lives Mortality,United States of America</t>
  </si>
  <si>
    <t xml:space="preserve">Table # </t>
  </si>
  <si>
    <t>1</t>
  </si>
  <si>
    <t>Nation:</t>
  </si>
  <si>
    <t>United States of America</t>
  </si>
  <si>
    <t>Scaling Factor:</t>
  </si>
  <si>
    <t>0</t>
  </si>
  <si>
    <t>Data Type:</t>
  </si>
  <si>
    <t>Floating Point</t>
  </si>
  <si>
    <t>Row, Column (if applicable)-&gt;id:</t>
  </si>
  <si>
    <t>Duration</t>
  </si>
  <si>
    <t>Row, Column (if applicable)-&gt;ScaleType:</t>
  </si>
  <si>
    <t>Ordinal Date</t>
  </si>
  <si>
    <t>Row, Column (if applicable)-&gt;AxisName:</t>
  </si>
  <si>
    <t>Row, Column (if applicable)-&gt;MinScaleValue:</t>
  </si>
  <si>
    <t>18</t>
  </si>
  <si>
    <t>Row, Column (if applicable)-&gt;MaxScaleValue:</t>
  </si>
  <si>
    <t>95</t>
  </si>
  <si>
    <t>25</t>
  </si>
  <si>
    <t>Row, Column (if applicable)-&gt;Increment:</t>
  </si>
  <si>
    <t>Row\Column</t>
  </si>
  <si>
    <t>2</t>
  </si>
  <si>
    <t>19</t>
  </si>
  <si>
    <t>20</t>
  </si>
  <si>
    <t>21</t>
  </si>
  <si>
    <t>22</t>
  </si>
  <si>
    <t>23</t>
  </si>
  <si>
    <t>24</t>
  </si>
  <si>
    <t>0.00067</t>
  </si>
  <si>
    <t>0.0007</t>
  </si>
  <si>
    <t>0.00072</t>
  </si>
  <si>
    <t>0.00075</t>
  </si>
  <si>
    <t>0.00078</t>
  </si>
  <si>
    <t>0.0008</t>
  </si>
  <si>
    <t>0.00083</t>
  </si>
  <si>
    <t>0.00085</t>
  </si>
  <si>
    <t>0.00084</t>
  </si>
  <si>
    <t>0.00082</t>
  </si>
  <si>
    <t>0.00088</t>
  </si>
  <si>
    <t>0.00095</t>
  </si>
  <si>
    <t>0.00102</t>
  </si>
  <si>
    <t>0.0011</t>
  </si>
  <si>
    <t>0.00119</t>
  </si>
  <si>
    <t>0.0013</t>
  </si>
  <si>
    <t>0.00142</t>
  </si>
  <si>
    <t>0.00158</t>
  </si>
  <si>
    <t>0.00179</t>
  </si>
  <si>
    <t>0.00201</t>
  </si>
  <si>
    <t>0.00224</t>
  </si>
  <si>
    <t>0.00246</t>
  </si>
  <si>
    <t>0.00066</t>
  </si>
  <si>
    <t>0.00069</t>
  </si>
  <si>
    <t>0.00071</t>
  </si>
  <si>
    <t>0.0014</t>
  </si>
  <si>
    <t>0.00087</t>
  </si>
  <si>
    <t>0.00111</t>
  </si>
  <si>
    <t>0.00058</t>
  </si>
  <si>
    <t>0.00062</t>
  </si>
  <si>
    <t>0.00068</t>
  </si>
  <si>
    <t>0.00077</t>
  </si>
  <si>
    <t>0.00099</t>
  </si>
  <si>
    <t>0.00117</t>
  </si>
  <si>
    <t>0.00134</t>
  </si>
  <si>
    <t>0.00154</t>
  </si>
  <si>
    <t>0.00196</t>
  </si>
  <si>
    <t>0.00052</t>
  </si>
  <si>
    <t>0.00054</t>
  </si>
  <si>
    <t>0.00131</t>
  </si>
  <si>
    <t>0.00258</t>
  </si>
  <si>
    <t>0.00291</t>
  </si>
  <si>
    <t>0.00049</t>
  </si>
  <si>
    <t>0.00215</t>
  </si>
  <si>
    <t>0.00044</t>
  </si>
  <si>
    <t>0.00047</t>
  </si>
  <si>
    <t>0.00057</t>
  </si>
  <si>
    <t>0.00123</t>
  </si>
  <si>
    <t>0.00188</t>
  </si>
  <si>
    <t>0.00235</t>
  </si>
  <si>
    <t>0.00041</t>
  </si>
  <si>
    <t>0.0005</t>
  </si>
  <si>
    <t>0.00162</t>
  </si>
  <si>
    <t>0.00383</t>
  </si>
  <si>
    <t>26</t>
  </si>
  <si>
    <t>0.00046</t>
  </si>
  <si>
    <t>0.0009</t>
  </si>
  <si>
    <t>0.00413</t>
  </si>
  <si>
    <t>27</t>
  </si>
  <si>
    <t>0.00034</t>
  </si>
  <si>
    <t>0.00148</t>
  </si>
  <si>
    <t>0.00265</t>
  </si>
  <si>
    <t>0.00447</t>
  </si>
  <si>
    <t>28</t>
  </si>
  <si>
    <t>0.00032</t>
  </si>
  <si>
    <t>0.0004</t>
  </si>
  <si>
    <t>0.00135</t>
  </si>
  <si>
    <t>0.0019</t>
  </si>
  <si>
    <t>29</t>
  </si>
  <si>
    <t>0.00101</t>
  </si>
  <si>
    <t>0.00249</t>
  </si>
  <si>
    <t>0.00528</t>
  </si>
  <si>
    <t>30</t>
  </si>
  <si>
    <t>0.0038</t>
  </si>
  <si>
    <t>31</t>
  </si>
  <si>
    <t>0.00527</t>
  </si>
  <si>
    <t>32</t>
  </si>
  <si>
    <t>0.00033</t>
  </si>
  <si>
    <t>0.00094</t>
  </si>
  <si>
    <t>0.00302</t>
  </si>
  <si>
    <t>33</t>
  </si>
  <si>
    <t>0.00113</t>
  </si>
  <si>
    <t>0.0017</t>
  </si>
  <si>
    <t>34</t>
  </si>
  <si>
    <t>0.00124</t>
  </si>
  <si>
    <t>0.00144</t>
  </si>
  <si>
    <t>0.00846</t>
  </si>
  <si>
    <t>35</t>
  </si>
  <si>
    <t>0.00089</t>
  </si>
  <si>
    <t>36</t>
  </si>
  <si>
    <t>0.00165</t>
  </si>
  <si>
    <t>0.01045</t>
  </si>
  <si>
    <t>37</t>
  </si>
  <si>
    <t>0.00216</t>
  </si>
  <si>
    <t>0.00357</t>
  </si>
  <si>
    <t>0.00626</t>
  </si>
  <si>
    <t>0.01166</t>
  </si>
  <si>
    <t>38</t>
  </si>
  <si>
    <t>0.00269</t>
  </si>
  <si>
    <t>0.00346</t>
  </si>
  <si>
    <t>0.01303</t>
  </si>
  <si>
    <t>39</t>
  </si>
  <si>
    <t>0.00109</t>
  </si>
  <si>
    <t>0.0023</t>
  </si>
  <si>
    <t>40</t>
  </si>
  <si>
    <t>41</t>
  </si>
  <si>
    <t>42</t>
  </si>
  <si>
    <t>0.0021</t>
  </si>
  <si>
    <t>0.01989</t>
  </si>
  <si>
    <t>43</t>
  </si>
  <si>
    <t>44</t>
  </si>
  <si>
    <t>0.00153</t>
  </si>
  <si>
    <t>0.00343</t>
  </si>
  <si>
    <t>45</t>
  </si>
  <si>
    <t>0.00564</t>
  </si>
  <si>
    <t>46</t>
  </si>
  <si>
    <t>0.00182</t>
  </si>
  <si>
    <t>47</t>
  </si>
  <si>
    <t>0.02896</t>
  </si>
  <si>
    <t>48</t>
  </si>
  <si>
    <t>49</t>
  </si>
  <si>
    <t>50</t>
  </si>
  <si>
    <t>51</t>
  </si>
  <si>
    <t>52</t>
  </si>
  <si>
    <t>0.00555</t>
  </si>
  <si>
    <t>53</t>
  </si>
  <si>
    <t>54</t>
  </si>
  <si>
    <t>55</t>
  </si>
  <si>
    <t>0.02846</t>
  </si>
  <si>
    <t>0.06188</t>
  </si>
  <si>
    <t>56</t>
  </si>
  <si>
    <t>0.00609</t>
  </si>
  <si>
    <t>0.06627</t>
  </si>
  <si>
    <t>57</t>
  </si>
  <si>
    <t>0.07094</t>
  </si>
  <si>
    <t>58</t>
  </si>
  <si>
    <t>0.01022</t>
  </si>
  <si>
    <t>0.07684</t>
  </si>
  <si>
    <t>59</t>
  </si>
  <si>
    <t>0.00284</t>
  </si>
  <si>
    <t>0.08442</t>
  </si>
  <si>
    <t>60</t>
  </si>
  <si>
    <t>0.00951</t>
  </si>
  <si>
    <t>0.09303</t>
  </si>
  <si>
    <t>61</t>
  </si>
  <si>
    <t>0.10279</t>
  </si>
  <si>
    <t>62</t>
  </si>
  <si>
    <t>0.11376</t>
  </si>
  <si>
    <t>63</t>
  </si>
  <si>
    <t>0.12586</t>
  </si>
  <si>
    <t>64</t>
  </si>
  <si>
    <t>0.13882</t>
  </si>
  <si>
    <t>65</t>
  </si>
  <si>
    <t>0.15225</t>
  </si>
  <si>
    <t>66</t>
  </si>
  <si>
    <t>0.00979</t>
  </si>
  <si>
    <t>0.16584</t>
  </si>
  <si>
    <t>67</t>
  </si>
  <si>
    <t>0.02179</t>
  </si>
  <si>
    <t>0.17917</t>
  </si>
  <si>
    <t>68</t>
  </si>
  <si>
    <t>0.03734</t>
  </si>
  <si>
    <t>0.19204</t>
  </si>
  <si>
    <t>69</t>
  </si>
  <si>
    <t>0.20412</t>
  </si>
  <si>
    <t>70</t>
  </si>
  <si>
    <t>0.00765</t>
  </si>
  <si>
    <t>0.21485</t>
  </si>
  <si>
    <t>71</t>
  </si>
  <si>
    <t>0.22652</t>
  </si>
  <si>
    <t>72</t>
  </si>
  <si>
    <t>0.24113</t>
  </si>
  <si>
    <t>73</t>
  </si>
  <si>
    <t>0.25732</t>
  </si>
  <si>
    <t>74</t>
  </si>
  <si>
    <t>0.2753</t>
  </si>
  <si>
    <t>75</t>
  </si>
  <si>
    <t>0.29479</t>
  </si>
  <si>
    <t>76</t>
  </si>
  <si>
    <t>0.31552</t>
  </si>
  <si>
    <t>77</t>
  </si>
  <si>
    <t>0.33699</t>
  </si>
  <si>
    <t>78</t>
  </si>
  <si>
    <t>0.35854</t>
  </si>
  <si>
    <t>79</t>
  </si>
  <si>
    <t>0.37981</t>
  </si>
  <si>
    <t>80</t>
  </si>
  <si>
    <t>0.40044</t>
  </si>
  <si>
    <t>81</t>
  </si>
  <si>
    <t>0.42009</t>
  </si>
  <si>
    <t>82</t>
  </si>
  <si>
    <t>0.4384</t>
  </si>
  <si>
    <t>83</t>
  </si>
  <si>
    <t>0.45501</t>
  </si>
  <si>
    <t>84</t>
  </si>
  <si>
    <t>0.46956</t>
  </si>
  <si>
    <t>85</t>
  </si>
  <si>
    <t>0.4817</t>
  </si>
  <si>
    <t>86</t>
  </si>
  <si>
    <t>0.49107</t>
  </si>
  <si>
    <t>87</t>
  </si>
  <si>
    <t>0.49731</t>
  </si>
  <si>
    <t>88</t>
  </si>
  <si>
    <t>0.5</t>
  </si>
  <si>
    <t>89</t>
  </si>
  <si>
    <t>90</t>
  </si>
  <si>
    <t>91</t>
  </si>
  <si>
    <t>92</t>
  </si>
  <si>
    <t>93</t>
  </si>
  <si>
    <t>94</t>
  </si>
  <si>
    <t>2015 VBT Smoker Distinct Table - Male, Smoker, Age Last Birthday, Ultimate</t>
  </si>
  <si>
    <t>120</t>
  </si>
  <si>
    <t>0.00279</t>
  </si>
  <si>
    <t>0.00294</t>
  </si>
  <si>
    <t>0.00313</t>
  </si>
  <si>
    <t>0.00334</t>
  </si>
  <si>
    <t>0.00486</t>
  </si>
  <si>
    <t>0.00577</t>
  </si>
  <si>
    <t>0.00632</t>
  </si>
  <si>
    <t>0.00694</t>
  </si>
  <si>
    <t>0.00939</t>
  </si>
  <si>
    <t>0.01453</t>
  </si>
  <si>
    <t>0.01618</t>
  </si>
  <si>
    <t>0.01798</t>
  </si>
  <si>
    <t>0.0219</t>
  </si>
  <si>
    <t>0.02405</t>
  </si>
  <si>
    <t>0.02641</t>
  </si>
  <si>
    <t>0.02908</t>
  </si>
  <si>
    <t>0.03211</t>
  </si>
  <si>
    <t>0.03547</t>
  </si>
  <si>
    <t>0.03908</t>
  </si>
  <si>
    <t>0.04283</t>
  </si>
  <si>
    <t>0.0466</t>
  </si>
  <si>
    <t>0.05033</t>
  </si>
  <si>
    <t>0.05404</t>
  </si>
  <si>
    <t>0.05784</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</si>
  <si>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</si>
  <si>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</si>
  <si>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</si>
  <si>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</si>
  <si>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</si>
  <si>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</si>
  <si>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</si>
  <si>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</si>
  <si>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</si>
  <si>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</si>
  <si>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</si>
  <si>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</si>
  <si>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</si>
  <si>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</si>
  <si>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</si>
  <si>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</si>
  <si>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</si>
  <si>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</si>
  <si>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</si>
  <si>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</si>
  <si>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</si>
  <si>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</si>
  <si>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</si>
  <si>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</si>
  <si>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r>
      <t xml:space="preserve">2015 VBT Smoker Distinct Table - </t>
    </r>
    <r>
      <rPr>
        <b/>
        <sz val="11"/>
        <rFont val="Calibri"/>
        <family val="2"/>
        <scheme val="minor"/>
      </rPr>
      <t>Male, Smoker</t>
    </r>
    <r>
      <rPr>
        <sz val="11"/>
        <rFont val="Calibri"/>
        <family val="2"/>
        <scheme val="minor"/>
      </rPr>
      <t>, Age Last Birthday, Select</t>
    </r>
  </si>
  <si>
    <t>2015 VBT Smoker Distinct Female Smoker ALB</t>
  </si>
  <si>
    <t>3272</t>
  </si>
  <si>
    <t>2015 Valuation Basic Table (VBT) Smoker Distinct Table - Female, Smoker, Age Last Birthday. Minimum Age: 18. Maximum Age: 95.</t>
  </si>
  <si>
    <t>0.00027</t>
  </si>
  <si>
    <t>0.00026</t>
  </si>
  <si>
    <t>0.0003</t>
  </si>
  <si>
    <t>0.00036</t>
  </si>
  <si>
    <t>0.00038</t>
  </si>
  <si>
    <t>0.00079</t>
  </si>
  <si>
    <t>0.00028</t>
  </si>
  <si>
    <t>0.00171</t>
  </si>
  <si>
    <t>0.00105</t>
  </si>
  <si>
    <t>0.00159</t>
  </si>
  <si>
    <t>0.00345</t>
  </si>
  <si>
    <t>0.00418</t>
  </si>
  <si>
    <t>0.00151</t>
  </si>
  <si>
    <t>0.00461</t>
  </si>
  <si>
    <t>0.00509</t>
  </si>
  <si>
    <t>0.0028</t>
  </si>
  <si>
    <t>0.00695</t>
  </si>
  <si>
    <t>0.00199</t>
  </si>
  <si>
    <t>0.00771</t>
  </si>
  <si>
    <t>0.00856</t>
  </si>
  <si>
    <t>0.01055</t>
  </si>
  <si>
    <t>0.01168</t>
  </si>
  <si>
    <t>0.01292</t>
  </si>
  <si>
    <t>0.01426</t>
  </si>
  <si>
    <t>0.0157</t>
  </si>
  <si>
    <t>0.01723</t>
  </si>
  <si>
    <t>0.01884</t>
  </si>
  <si>
    <t>0.02057</t>
  </si>
  <si>
    <t>0.00668</t>
  </si>
  <si>
    <t>0.02249</t>
  </si>
  <si>
    <t>0.00236</t>
  </si>
  <si>
    <t>0.02448</t>
  </si>
  <si>
    <t>0.02655</t>
  </si>
  <si>
    <t>0.01548</t>
  </si>
  <si>
    <t>0.02881</t>
  </si>
  <si>
    <t>0.03128</t>
  </si>
  <si>
    <t>0.03403</t>
  </si>
  <si>
    <t>0.03708</t>
  </si>
  <si>
    <t>0.01369</t>
  </si>
  <si>
    <t>0.04046</t>
  </si>
  <si>
    <t>0.04419</t>
  </si>
  <si>
    <t>0.00322</t>
  </si>
  <si>
    <t>0.01216</t>
  </si>
  <si>
    <t>0.04874</t>
  </si>
  <si>
    <t>0.05443</t>
  </si>
  <si>
    <t>0.06102</t>
  </si>
  <si>
    <t>0.06845</t>
  </si>
  <si>
    <t>0.07639</t>
  </si>
  <si>
    <t>0.08402</t>
  </si>
  <si>
    <t>0.09323</t>
  </si>
  <si>
    <t>0.10403</t>
  </si>
  <si>
    <t>0.11461</t>
  </si>
  <si>
    <t>0.12599</t>
  </si>
  <si>
    <t>0.13798</t>
  </si>
  <si>
    <t>0.15026</t>
  </si>
  <si>
    <t>0.00316</t>
  </si>
  <si>
    <t>0.16273</t>
  </si>
  <si>
    <t>0.17551</t>
  </si>
  <si>
    <t>0.06748</t>
  </si>
  <si>
    <t>0.18805</t>
  </si>
  <si>
    <t>0.20027</t>
  </si>
  <si>
    <t>0.21401</t>
  </si>
  <si>
    <t>0.22982</t>
  </si>
  <si>
    <t>0.24627</t>
  </si>
  <si>
    <t>0.26304</t>
  </si>
  <si>
    <t>0.27966</t>
  </si>
  <si>
    <t>0.00736</t>
  </si>
  <si>
    <t>0.29921</t>
  </si>
  <si>
    <t>0.00816</t>
  </si>
  <si>
    <t>0.32314</t>
  </si>
  <si>
    <t>0.34698</t>
  </si>
  <si>
    <t>0.37036</t>
  </si>
  <si>
    <t>0.39292</t>
  </si>
  <si>
    <t>0.4143</t>
  </si>
  <si>
    <t>0.43413</t>
  </si>
  <si>
    <t>0.45205</t>
  </si>
  <si>
    <t>0.46769</t>
  </si>
  <si>
    <t>0.48068</t>
  </si>
  <si>
    <t>0.49065</t>
  </si>
  <si>
    <t>0.49723</t>
  </si>
  <si>
    <t>2015 VBT Smoker Distinct Table - Female, Smoker, Age Last Birthday, Ultimate</t>
  </si>
  <si>
    <r>
      <t>2015 VBT Smoker Distinct Table -</t>
    </r>
    <r>
      <rPr>
        <b/>
        <sz val="11"/>
        <rFont val="Calibri"/>
        <family val="2"/>
        <scheme val="minor"/>
      </rPr>
      <t xml:space="preserve"> Female, Smoker</t>
    </r>
    <r>
      <rPr>
        <sz val="11"/>
        <rFont val="Calibri"/>
        <family val="2"/>
        <scheme val="minor"/>
      </rPr>
      <t>, Age Last Birthday, Select</t>
    </r>
  </si>
  <si>
    <t>2015 VBT Smoker Distinct Male Non-Smoker ALB</t>
  </si>
  <si>
    <t>3269</t>
  </si>
  <si>
    <t>2015 VBT Smoker Distinct Table - Male, Non-Smoker, Age Last Birthday, Select</t>
  </si>
  <si>
    <t>0.00086</t>
  </si>
  <si>
    <t>0.00428</t>
  </si>
  <si>
    <t>0.00474</t>
  </si>
  <si>
    <t>0.00725</t>
  </si>
  <si>
    <t>0.03604</t>
  </si>
  <si>
    <t>0.04076</t>
  </si>
  <si>
    <t>0.04615</t>
  </si>
  <si>
    <t>0.05227</t>
  </si>
  <si>
    <t>0.05931</t>
  </si>
  <si>
    <t>0.07696</t>
  </si>
  <si>
    <t>0.08787</t>
  </si>
  <si>
    <t>0.10029</t>
  </si>
  <si>
    <t>0.11402</t>
  </si>
  <si>
    <t>0.12876</t>
  </si>
  <si>
    <t>0.00419</t>
  </si>
  <si>
    <t>0.14417</t>
  </si>
  <si>
    <t>0.15979</t>
  </si>
  <si>
    <t>0.1753</t>
  </si>
  <si>
    <t>0.19025</t>
  </si>
  <si>
    <t>0.20394</t>
  </si>
  <si>
    <t>0.21845</t>
  </si>
  <si>
    <t>0.23554</t>
  </si>
  <si>
    <t>0.25392</t>
  </si>
  <si>
    <t>0.27364</t>
  </si>
  <si>
    <t>0.29431</t>
  </si>
  <si>
    <t>2015 VBT Smoker Distinct Table - Male, Non-Smoker, Age Last Birthday, Ultimate</t>
  </si>
  <si>
    <t>0.00366</t>
  </si>
  <si>
    <t>0.00393</t>
  </si>
  <si>
    <t>0.00588</t>
  </si>
  <si>
    <t>0.00654</t>
  </si>
  <si>
    <t>0.00802</t>
  </si>
  <si>
    <t>0.00886</t>
  </si>
  <si>
    <t>0.01088</t>
  </si>
  <si>
    <t>0.01755</t>
  </si>
  <si>
    <t>0.02248</t>
  </si>
  <si>
    <t>0.02532</t>
  </si>
  <si>
    <t>0.03199</t>
  </si>
  <si>
    <t>2015 VBT Smoker Distinct Female Non-Smoker ALB</t>
  </si>
  <si>
    <t>3270</t>
  </si>
  <si>
    <t>2015 VBT Smoker Distinct Table - Female, Non-Smoker, Age Last Birthday, Select</t>
  </si>
  <si>
    <t>0.00506</t>
  </si>
  <si>
    <t>0.00911</t>
  </si>
  <si>
    <t>0.01152</t>
  </si>
  <si>
    <t>0.01475</t>
  </si>
  <si>
    <t>0.01674</t>
  </si>
  <si>
    <t>0.01906</t>
  </si>
  <si>
    <t>0.02508</t>
  </si>
  <si>
    <t>0.03307</t>
  </si>
  <si>
    <t>0.04223</t>
  </si>
  <si>
    <t>0.04898</t>
  </si>
  <si>
    <t>0.05673</t>
  </si>
  <si>
    <t>0.06443</t>
  </si>
  <si>
    <t>0.07325</t>
  </si>
  <si>
    <t>0.08331</t>
  </si>
  <si>
    <t>0.09439</t>
  </si>
  <si>
    <t>0.10638</t>
  </si>
  <si>
    <t>0.11927</t>
  </si>
  <si>
    <t>0.13319</t>
  </si>
  <si>
    <t>0.14781</t>
  </si>
  <si>
    <t>0.16312</t>
  </si>
  <si>
    <t>0.18074</t>
  </si>
  <si>
    <t>0.20127</t>
  </si>
  <si>
    <t>0.22374</t>
  </si>
  <si>
    <t>0.24802</t>
  </si>
  <si>
    <t>0.27379</t>
  </si>
  <si>
    <t>2015 VBT Smoker Distinct Table - Female, Non-Smoker, Age Last Birthday, Ultimate</t>
  </si>
  <si>
    <r>
      <t xml:space="preserve">2015 Valuation Basic Table (VBT) Smoker Distinct Table - </t>
    </r>
    <r>
      <rPr>
        <b/>
        <sz val="11"/>
        <rFont val="Calibri"/>
        <family val="2"/>
        <scheme val="minor"/>
      </rPr>
      <t>Female, Non-Smoker</t>
    </r>
    <r>
      <rPr>
        <sz val="11"/>
        <rFont val="Calibri"/>
        <family val="2"/>
        <scheme val="minor"/>
      </rPr>
      <t>, Age Last Birthday. Minimum Age: 18. Maximum Age: 95.</t>
    </r>
  </si>
  <si>
    <r>
      <t xml:space="preserve">2015 Valuation Basic Table (VBT) Smoker Distinct Table - </t>
    </r>
    <r>
      <rPr>
        <b/>
        <sz val="11"/>
        <rFont val="Calibri"/>
        <family val="2"/>
        <scheme val="minor"/>
      </rPr>
      <t>Male, Non-Smoker</t>
    </r>
    <r>
      <rPr>
        <sz val="11"/>
        <rFont val="Calibri"/>
        <family val="2"/>
        <scheme val="minor"/>
      </rPr>
      <t>, Age Last Birthday. Minimum Age: 18. Maximum Age: 95.</t>
    </r>
  </si>
  <si>
    <t>Premium Calculation</t>
  </si>
  <si>
    <t>Mortality rate from table</t>
  </si>
  <si>
    <t>Mortality Adjustment Factor</t>
  </si>
  <si>
    <t>Total</t>
  </si>
  <si>
    <t>Annual Lapse Rate</t>
  </si>
  <si>
    <t>Cumulative Persistency</t>
  </si>
  <si>
    <t>Beginning of Year</t>
  </si>
  <si>
    <t>End of Year</t>
  </si>
  <si>
    <t>Interest Rate</t>
  </si>
  <si>
    <t>Cumulative Interest Discount Factor</t>
  </si>
  <si>
    <t>Selected Plan:</t>
  </si>
  <si>
    <t>Table Identifier</t>
  </si>
  <si>
    <t>Female</t>
  </si>
  <si>
    <t>Smoking Status</t>
  </si>
  <si>
    <t>#Do not change</t>
  </si>
  <si>
    <t>Mortality Rate</t>
  </si>
  <si>
    <t># 18-55</t>
  </si>
  <si>
    <t>Section 1. Policyholders Demographic</t>
  </si>
  <si>
    <t>Section 2. Policy Expenses</t>
  </si>
  <si>
    <t>Numer of policies sold</t>
  </si>
  <si>
    <t>Annual maintenance expense</t>
  </si>
  <si>
    <t>Issue expense</t>
  </si>
  <si>
    <t>Issue expense per policy</t>
  </si>
  <si>
    <t>maintenance expense per policy</t>
  </si>
  <si>
    <t>Expected Expenses Per Policy</t>
  </si>
  <si>
    <t>Present Value of Benefits</t>
  </si>
  <si>
    <t>Present Value of Expenses</t>
  </si>
  <si>
    <t>maintenance expense</t>
  </si>
  <si>
    <t>Total expense per policy</t>
  </si>
  <si>
    <t>Expected Benefits Per Policy</t>
  </si>
  <si>
    <t>Section 3: Profit Loading</t>
  </si>
  <si>
    <t>Profit loading</t>
  </si>
  <si>
    <t>Profit Loading</t>
  </si>
  <si>
    <t>Annual Premium Per Policy</t>
  </si>
  <si>
    <t>Premium Annuity Factor</t>
  </si>
  <si>
    <t xml:space="preserve">male mean = </t>
  </si>
  <si>
    <t>Scenarios</t>
  </si>
  <si>
    <t xml:space="preserve">Female mean = </t>
  </si>
  <si>
    <t>RandomNum</t>
  </si>
  <si>
    <t>RandomNum_adj</t>
  </si>
  <si>
    <t xml:space="preserve">num_min = </t>
  </si>
  <si>
    <t>num_max =</t>
  </si>
  <si>
    <t># Adjust to [18, 55]</t>
  </si>
  <si>
    <t>2) Assume 20% of the population are smoker, we will use RAND() for which result &lt;= 0.2 indicates policyholder is a smoker.</t>
  </si>
  <si>
    <t>1) Assume policyholders's age are in poisson distribution, with 500 male and 500 female.</t>
  </si>
  <si>
    <t>Smoker/NonSmoker</t>
  </si>
  <si>
    <t>RAND()</t>
  </si>
  <si>
    <t>Premium</t>
  </si>
  <si>
    <t>AnnualPremium</t>
  </si>
  <si>
    <t>MaleNonsmoker</t>
  </si>
  <si>
    <t>FemaleNonsmoker</t>
  </si>
  <si>
    <t>Sensitivity Analysis on Mortality Adjustment Factor: (Male25Smoker)</t>
  </si>
  <si>
    <t>Compared to Base rate 90%</t>
  </si>
  <si>
    <t>Sensitivity Analysis on Mortality Adjustment Factor: (Female40Nonsmoker)</t>
  </si>
  <si>
    <t>Sensitivity Analysis on Annual Interest Rate: (Female40Nonsmoker)</t>
  </si>
  <si>
    <t>Sensitivity Analysis on Annual Interest Rate: (Male25Smoker)</t>
  </si>
  <si>
    <t>Compared to Base rate 3%</t>
  </si>
  <si>
    <t>Sensitivity Analysis on Annual Lapse Rate: (Male25Smoker)</t>
  </si>
  <si>
    <t>Sensitivity Analysis on Annual Lapse Rate: (Female40Nonsmoker)</t>
  </si>
  <si>
    <t>Sensitivity Analysis on Profit Loading: (Male25Smoker)</t>
  </si>
  <si>
    <t>Sensitivity Analysis on Profit Loading: (Female40Nonsmoker)</t>
  </si>
  <si>
    <t># Macro can be used to calculate the annual premiums</t>
  </si>
  <si>
    <t>#Profit is set to be 5% of the sum of expected claims and total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</si>
</sst>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00"/>
    <numFmt numFmtId="165" formatCode="&quot;$&quot;#,##0.00"/>
    <numFmt numFmtId="166"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1"/>
      <name val="Calibri"/>
      <family val="2"/>
      <scheme val="minor"/>
    </font>
    <font>
      <b/>
      <sz val="11"/>
      <name val="Calibri"/>
      <family val="2"/>
      <scheme val="minor"/>
    </font>
    <font>
      <sz val="11"/>
      <color theme="9" tint="-0.249977111117893"/>
      <name val="Calibri"/>
      <family val="2"/>
      <scheme val="minor"/>
    </font>
    <font>
      <i/>
      <sz val="11"/>
      <color theme="1"/>
      <name val="Calibri"/>
      <family val="2"/>
      <scheme val="minor"/>
    </font>
    <font>
      <u/>
      <sz val="11"/>
      <color theme="1"/>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79998168889431442"/>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3" fillId="0" borderId="0">
      <alignment vertical="center"/>
    </xf>
    <xf numFmtId="44" fontId="1" fillId="0" borderId="0" applyFont="0" applyFill="0" applyBorder="0" applyAlignment="0" applyProtection="0"/>
    <xf numFmtId="9" fontId="1" fillId="0" borderId="0" applyFont="0" applyFill="0" applyBorder="0" applyAlignment="0" applyProtection="0"/>
  </cellStyleXfs>
  <cellXfs count="97">
    <xf numFmtId="0" fontId="0" fillId="0" borderId="0" xfId="0"/>
    <xf numFmtId="0" fontId="2" fillId="0" borderId="0" xfId="0" applyFont="1"/>
    <xf numFmtId="9" fontId="0" fillId="0" borderId="0" xfId="0" applyNumberFormat="1"/>
    <xf numFmtId="0" fontId="0" fillId="0" borderId="0" xfId="0" applyAlignment="1">
      <alignment horizontal="left" indent="2"/>
    </xf>
    <xf numFmtId="0" fontId="4" fillId="0" borderId="0" xfId="0" applyFont="1"/>
    <xf numFmtId="0" fontId="4" fillId="0" borderId="0" xfId="1" applyFont="1">
      <alignment vertical="center"/>
    </xf>
    <xf numFmtId="0" fontId="1" fillId="0" borderId="0" xfId="0" applyFont="1"/>
    <xf numFmtId="11" fontId="4" fillId="0" borderId="0" xfId="1" applyNumberFormat="1" applyFont="1">
      <alignment vertical="center"/>
    </xf>
    <xf numFmtId="0" fontId="6" fillId="0" borderId="0" xfId="0" quotePrefix="1" applyFont="1"/>
    <xf numFmtId="0" fontId="6" fillId="0" borderId="0" xfId="0" applyFont="1"/>
    <xf numFmtId="0" fontId="0" fillId="0" borderId="15" xfId="0" applyBorder="1"/>
    <xf numFmtId="0" fontId="0" fillId="0" borderId="17" xfId="0" applyBorder="1"/>
    <xf numFmtId="0" fontId="0" fillId="0" borderId="18" xfId="0" applyBorder="1"/>
    <xf numFmtId="0" fontId="0" fillId="0" borderId="19" xfId="0" applyBorder="1"/>
    <xf numFmtId="0" fontId="6" fillId="0" borderId="0" xfId="0" applyFont="1" applyAlignment="1">
      <alignment horizontal="right"/>
    </xf>
    <xf numFmtId="165" fontId="0" fillId="0" borderId="0" xfId="0" applyNumberFormat="1"/>
    <xf numFmtId="0" fontId="7" fillId="0" borderId="0" xfId="0" applyFont="1" applyAlignment="1">
      <alignment horizontal="left" indent="2"/>
    </xf>
    <xf numFmtId="0" fontId="7" fillId="0" borderId="15" xfId="0" applyFont="1" applyBorder="1" applyAlignment="1">
      <alignment horizontal="left" indent="2"/>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16" xfId="0" applyFill="1" applyBorder="1" applyAlignment="1">
      <alignment horizontal="center" vertical="center" wrapText="1"/>
    </xf>
    <xf numFmtId="0" fontId="0" fillId="4" borderId="16" xfId="0" applyFill="1" applyBorder="1" applyAlignment="1">
      <alignment horizontal="center" vertical="center" wrapText="1"/>
    </xf>
    <xf numFmtId="0" fontId="0" fillId="3" borderId="5" xfId="0" applyFill="1" applyBorder="1" applyAlignment="1">
      <alignment horizontal="center" vertical="center" wrapText="1"/>
    </xf>
    <xf numFmtId="0" fontId="0" fillId="4" borderId="5" xfId="0" applyFill="1" applyBorder="1" applyAlignment="1">
      <alignment horizontal="center" vertical="center" wrapText="1"/>
    </xf>
    <xf numFmtId="44" fontId="0" fillId="5" borderId="12" xfId="0" applyNumberFormat="1" applyFill="1" applyBorder="1"/>
    <xf numFmtId="44" fontId="0" fillId="5" borderId="13" xfId="0" applyNumberFormat="1" applyFill="1" applyBorder="1"/>
    <xf numFmtId="44" fontId="0" fillId="5" borderId="14" xfId="0" applyNumberFormat="1" applyFill="1" applyBorder="1"/>
    <xf numFmtId="44" fontId="0" fillId="5" borderId="16" xfId="0" applyNumberFormat="1" applyFill="1" applyBorder="1"/>
    <xf numFmtId="0" fontId="0" fillId="6" borderId="18" xfId="0" applyFill="1" applyBorder="1"/>
    <xf numFmtId="164" fontId="0" fillId="6" borderId="12" xfId="0" applyNumberFormat="1" applyFill="1" applyBorder="1"/>
    <xf numFmtId="164" fontId="0" fillId="6" borderId="0" xfId="0" applyNumberFormat="1" applyFill="1"/>
    <xf numFmtId="164" fontId="0" fillId="6" borderId="13" xfId="0" applyNumberFormat="1" applyFill="1" applyBorder="1"/>
    <xf numFmtId="164" fontId="0" fillId="6" borderId="18" xfId="0" applyNumberFormat="1" applyFill="1" applyBorder="1"/>
    <xf numFmtId="0" fontId="0" fillId="6" borderId="19" xfId="0" applyFill="1" applyBorder="1"/>
    <xf numFmtId="164" fontId="0" fillId="6" borderId="14" xfId="0" applyNumberFormat="1" applyFill="1" applyBorder="1"/>
    <xf numFmtId="164" fontId="0" fillId="6" borderId="15" xfId="0" applyNumberFormat="1" applyFill="1" applyBorder="1"/>
    <xf numFmtId="164" fontId="0" fillId="6" borderId="16" xfId="0" applyNumberFormat="1" applyFill="1" applyBorder="1"/>
    <xf numFmtId="164" fontId="0" fillId="6" borderId="19" xfId="0" applyNumberFormat="1" applyFill="1" applyBorder="1"/>
    <xf numFmtId="3" fontId="0" fillId="6" borderId="13" xfId="0" applyNumberFormat="1" applyFill="1" applyBorder="1" applyAlignment="1">
      <alignment horizontal="right"/>
    </xf>
    <xf numFmtId="0" fontId="0" fillId="6" borderId="13" xfId="0" applyFill="1" applyBorder="1" applyAlignment="1">
      <alignment horizontal="right"/>
    </xf>
    <xf numFmtId="0" fontId="2" fillId="0" borderId="13" xfId="0" applyFont="1" applyBorder="1" applyAlignment="1">
      <alignment horizontal="right"/>
    </xf>
    <xf numFmtId="9" fontId="0" fillId="6" borderId="13" xfId="0" applyNumberFormat="1" applyFill="1" applyBorder="1" applyAlignment="1">
      <alignment horizontal="right"/>
    </xf>
    <xf numFmtId="9" fontId="0" fillId="6" borderId="16" xfId="0" applyNumberFormat="1" applyFill="1" applyBorder="1" applyAlignment="1">
      <alignment horizontal="right"/>
    </xf>
    <xf numFmtId="165" fontId="0" fillId="6" borderId="13" xfId="0" applyNumberFormat="1" applyFill="1" applyBorder="1" applyAlignment="1">
      <alignment horizontal="right"/>
    </xf>
    <xf numFmtId="165" fontId="0" fillId="0" borderId="13" xfId="0" applyNumberFormat="1" applyBorder="1" applyAlignment="1">
      <alignment horizontal="right"/>
    </xf>
    <xf numFmtId="165" fontId="0" fillId="0" borderId="16" xfId="0" applyNumberFormat="1" applyBorder="1" applyAlignment="1">
      <alignment horizontal="right"/>
    </xf>
    <xf numFmtId="0" fontId="2" fillId="0" borderId="0" xfId="0" applyFont="1" applyAlignment="1">
      <alignment horizontal="left" indent="2"/>
    </xf>
    <xf numFmtId="0" fontId="7" fillId="0" borderId="0" xfId="0" applyFont="1"/>
    <xf numFmtId="0" fontId="0" fillId="0" borderId="7" xfId="0" applyBorder="1"/>
    <xf numFmtId="9" fontId="0" fillId="6" borderId="8" xfId="0" applyNumberFormat="1" applyFill="1" applyBorder="1"/>
    <xf numFmtId="0" fontId="0" fillId="0" borderId="5" xfId="0" applyBorder="1"/>
    <xf numFmtId="165" fontId="2" fillId="0" borderId="0" xfId="0" applyNumberFormat="1" applyFont="1"/>
    <xf numFmtId="165" fontId="7" fillId="0" borderId="0" xfId="0" applyNumberFormat="1" applyFont="1"/>
    <xf numFmtId="165" fontId="2" fillId="0" borderId="1" xfId="0" applyNumberFormat="1" applyFont="1" applyBorder="1"/>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4" borderId="9"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4" xfId="0" applyFill="1" applyBorder="1" applyAlignment="1">
      <alignment horizontal="center" vertical="center" wrapText="1"/>
    </xf>
    <xf numFmtId="0" fontId="0" fillId="4" borderId="16" xfId="0" applyFill="1" applyBorder="1" applyAlignment="1">
      <alignment horizontal="center" vertical="center" wrapText="1"/>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17"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0" fontId="0" fillId="2" borderId="2" xfId="0" applyFill="1" applyBorder="1" applyAlignment="1">
      <alignment horizontal="center"/>
    </xf>
    <xf numFmtId="0" fontId="0" fillId="2" borderId="3" xfId="0" applyFill="1"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4" xfId="0" applyFill="1" applyBorder="1" applyAlignment="1">
      <alignment horizontal="center" vertical="center" wrapText="1"/>
    </xf>
    <xf numFmtId="0" fontId="0" fillId="3" borderId="16" xfId="0"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8" fillId="0" borderId="0" xfId="0" applyFont="1"/>
    <xf numFmtId="9" fontId="0" fillId="0" borderId="18" xfId="0" applyNumberFormat="1" applyBorder="1"/>
    <xf numFmtId="9" fontId="0" fillId="0" borderId="19" xfId="0" applyNumberFormat="1" applyBorder="1"/>
    <xf numFmtId="0" fontId="0" fillId="0" borderId="8" xfId="0" applyBorder="1" applyAlignment="1">
      <alignment wrapText="1"/>
    </xf>
    <xf numFmtId="9" fontId="0" fillId="0" borderId="11" xfId="3" applyFont="1" applyBorder="1"/>
    <xf numFmtId="9" fontId="0" fillId="0" borderId="13" xfId="3" applyFont="1" applyBorder="1"/>
    <xf numFmtId="9" fontId="0" fillId="0" borderId="16" xfId="3" applyFont="1" applyBorder="1"/>
    <xf numFmtId="44" fontId="0" fillId="0" borderId="9" xfId="2" applyFont="1" applyBorder="1"/>
    <xf numFmtId="44" fontId="0" fillId="0" borderId="12" xfId="2" applyFont="1" applyBorder="1"/>
    <xf numFmtId="44" fontId="0" fillId="0" borderId="14" xfId="2" applyFont="1" applyBorder="1"/>
    <xf numFmtId="166" fontId="0" fillId="0" borderId="11" xfId="3" applyNumberFormat="1" applyFont="1" applyBorder="1"/>
    <xf numFmtId="166" fontId="0" fillId="0" borderId="13" xfId="3" applyNumberFormat="1" applyFont="1" applyBorder="1"/>
    <xf numFmtId="166" fontId="0" fillId="0" borderId="16" xfId="3" applyNumberFormat="1" applyFont="1" applyBorder="1"/>
  </cellXfs>
  <cellStyles count="4">
    <cellStyle name="Currency" xfId="2" builtinId="4"/>
    <cellStyle name="Normal" xfId="0" builtinId="0"/>
    <cellStyle name="Normal 2" xfId="1" xr:uid="{4614BECD-2591-414C-8BD6-C967E3D84854}"/>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Age Distribution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Age Distribution</a:t>
          </a:r>
        </a:p>
      </cx:txPr>
    </cx:title>
    <cx:plotArea>
      <cx:plotAreaRegion>
        <cx:series layoutId="clusteredColumn" uniqueId="{99805856-2BC1-4B0C-B2FB-E27912A3BF14}" formatIdx="0">
          <cx:tx>
            <cx:txData>
              <cx:f/>
              <cx:v>Male</cx:v>
            </cx:txData>
          </cx:tx>
          <cx:dataLabels>
            <cx:visibility seriesName="0" categoryName="0" value="1"/>
          </cx:dataLabels>
          <cx:dataId val="0"/>
          <cx:layoutPr>
            <cx:binning intervalClosed="r"/>
          </cx:layoutPr>
        </cx:series>
      </cx:plotAreaRegion>
      <cx:axis id="0">
        <cx:catScaling gapWidth="0"/>
        <cx:tickLabels/>
      </cx:axis>
      <cx:axis id="1">
        <cx:valScaling/>
        <cx:majorGridlines/>
        <cx:tickLabels/>
      </cx:axis>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Age Distribution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Age Distribution</a:t>
          </a:r>
        </a:p>
      </cx:txPr>
    </cx:title>
    <cx:plotArea>
      <cx:plotAreaRegion>
        <cx:series layoutId="clusteredColumn" uniqueId="{00000001-0685-4C0F-8A6B-C21DC9CB4F38}" formatIdx="1">
          <cx:tx>
            <cx:txData>
              <cx:f/>
              <cx:v>Female</cx:v>
            </cx:txData>
          </cx:tx>
          <cx:dataLabels>
            <cx:visibility seriesName="0" categoryName="0" value="1"/>
          </cx:dataLabels>
          <cx:dataId val="0"/>
          <cx:layoutPr>
            <cx:binning intervalClosed="r"/>
          </cx:layoutPr>
        </cx:series>
      </cx:plotAreaRegion>
      <cx:axis id="0">
        <cx:catScaling gapWidth="0"/>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300037</xdr:colOff>
      <xdr:row>7</xdr:row>
      <xdr:rowOff>109538</xdr:rowOff>
    </xdr:from>
    <xdr:to>
      <xdr:col>5</xdr:col>
      <xdr:colOff>123825</xdr:colOff>
      <xdr:row>21</xdr:row>
      <xdr:rowOff>123826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97111CBF-E104-8088-86D5-282FCB3955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00037" y="1389698"/>
              <a:ext cx="5264468" cy="257460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47625</xdr:colOff>
      <xdr:row>7</xdr:row>
      <xdr:rowOff>66675</xdr:rowOff>
    </xdr:from>
    <xdr:to>
      <xdr:col>12</xdr:col>
      <xdr:colOff>90488</xdr:colOff>
      <xdr:row>21</xdr:row>
      <xdr:rowOff>142875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FF6FC239-F2F3-40AB-82F0-7E98299B343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707505" y="1346835"/>
              <a:ext cx="5262563" cy="263652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29"/>
  <sheetViews>
    <sheetView workbookViewId="0">
      <selection activeCell="I15" sqref="I15"/>
    </sheetView>
  </sheetViews>
  <sheetFormatPr defaultRowHeight="14.4" x14ac:dyDescent="0.3"/>
  <cols>
    <col min="2" max="2" width="17.88671875" customWidth="1"/>
    <col min="3" max="3" width="18.33203125" customWidth="1"/>
    <col min="4" max="4" width="12.5546875" bestFit="1" customWidth="1"/>
  </cols>
  <sheetData>
    <row r="1" spans="1:15" x14ac:dyDescent="0.3">
      <c r="O1" s="8" t="s">
        <v>490</v>
      </c>
    </row>
    <row r="2" spans="1:15" x14ac:dyDescent="0.3">
      <c r="A2" s="1" t="s">
        <v>0</v>
      </c>
      <c r="O2" t="s">
        <v>2</v>
      </c>
    </row>
    <row r="3" spans="1:15" x14ac:dyDescent="0.3">
      <c r="A3" s="54" t="s">
        <v>493</v>
      </c>
      <c r="B3" s="55"/>
      <c r="C3" s="55"/>
      <c r="D3" s="56"/>
      <c r="N3">
        <v>1</v>
      </c>
      <c r="O3" t="s">
        <v>3</v>
      </c>
    </row>
    <row r="4" spans="1:15" x14ac:dyDescent="0.3">
      <c r="A4" s="11">
        <v>1</v>
      </c>
      <c r="B4" t="s">
        <v>1</v>
      </c>
      <c r="D4" s="38">
        <v>200000</v>
      </c>
      <c r="N4">
        <v>2</v>
      </c>
      <c r="O4" t="s">
        <v>488</v>
      </c>
    </row>
    <row r="5" spans="1:15" x14ac:dyDescent="0.3">
      <c r="A5" s="12">
        <v>2</v>
      </c>
      <c r="B5" t="s">
        <v>2</v>
      </c>
      <c r="D5" s="39" t="s">
        <v>3</v>
      </c>
      <c r="O5" t="s">
        <v>489</v>
      </c>
    </row>
    <row r="6" spans="1:15" x14ac:dyDescent="0.3">
      <c r="A6" s="12">
        <v>3</v>
      </c>
      <c r="B6" t="s">
        <v>4</v>
      </c>
      <c r="D6" s="39">
        <v>25</v>
      </c>
      <c r="E6" s="14" t="s">
        <v>492</v>
      </c>
      <c r="N6">
        <v>1</v>
      </c>
      <c r="O6" t="s">
        <v>6</v>
      </c>
    </row>
    <row r="7" spans="1:15" x14ac:dyDescent="0.3">
      <c r="A7" s="12">
        <v>4</v>
      </c>
      <c r="B7" t="s">
        <v>5</v>
      </c>
      <c r="D7" s="39" t="s">
        <v>6</v>
      </c>
      <c r="N7">
        <v>2</v>
      </c>
      <c r="O7" t="s">
        <v>7</v>
      </c>
    </row>
    <row r="8" spans="1:15" x14ac:dyDescent="0.3">
      <c r="A8" s="12"/>
      <c r="B8" s="1" t="s">
        <v>487</v>
      </c>
      <c r="C8" s="1"/>
      <c r="D8" s="40" t="str">
        <f>D5&amp;D7</f>
        <v>MaleSmoker</v>
      </c>
    </row>
    <row r="9" spans="1:15" x14ac:dyDescent="0.3">
      <c r="A9" s="12">
        <v>5</v>
      </c>
      <c r="B9" t="s">
        <v>478</v>
      </c>
      <c r="D9" s="41">
        <v>0.9</v>
      </c>
    </row>
    <row r="10" spans="1:15" x14ac:dyDescent="0.3">
      <c r="A10" s="12">
        <v>5</v>
      </c>
      <c r="B10" t="s">
        <v>8</v>
      </c>
      <c r="D10" s="41">
        <v>0.03</v>
      </c>
    </row>
    <row r="11" spans="1:15" x14ac:dyDescent="0.3">
      <c r="A11" s="13">
        <v>6</v>
      </c>
      <c r="B11" s="10" t="s">
        <v>9</v>
      </c>
      <c r="C11" s="10"/>
      <c r="D11" s="42">
        <v>0.03</v>
      </c>
    </row>
    <row r="13" spans="1:15" x14ac:dyDescent="0.3">
      <c r="A13" s="54" t="s">
        <v>494</v>
      </c>
      <c r="B13" s="55"/>
      <c r="C13" s="55"/>
      <c r="D13" s="56"/>
    </row>
    <row r="14" spans="1:15" x14ac:dyDescent="0.3">
      <c r="A14" s="11">
        <v>1</v>
      </c>
      <c r="B14" t="s">
        <v>495</v>
      </c>
      <c r="D14" s="38">
        <v>1000</v>
      </c>
    </row>
    <row r="15" spans="1:15" x14ac:dyDescent="0.3">
      <c r="A15" s="12">
        <v>1</v>
      </c>
      <c r="B15" t="s">
        <v>497</v>
      </c>
      <c r="D15" s="43">
        <v>100000</v>
      </c>
    </row>
    <row r="16" spans="1:15" x14ac:dyDescent="0.3">
      <c r="A16" s="12">
        <v>2</v>
      </c>
      <c r="B16" t="s">
        <v>496</v>
      </c>
      <c r="D16" s="43">
        <v>30000</v>
      </c>
    </row>
    <row r="17" spans="1:5" x14ac:dyDescent="0.3">
      <c r="A17" s="12"/>
      <c r="B17" s="16" t="s">
        <v>498</v>
      </c>
      <c r="D17" s="44">
        <f>D15/D14</f>
        <v>100</v>
      </c>
    </row>
    <row r="18" spans="1:5" x14ac:dyDescent="0.3">
      <c r="A18" s="13"/>
      <c r="B18" s="17" t="s">
        <v>499</v>
      </c>
      <c r="C18" s="10"/>
      <c r="D18" s="45">
        <f>D16/D14</f>
        <v>30</v>
      </c>
    </row>
    <row r="20" spans="1:5" x14ac:dyDescent="0.3">
      <c r="A20" s="57" t="s">
        <v>506</v>
      </c>
      <c r="B20" s="58"/>
      <c r="C20" s="58"/>
      <c r="D20" s="59"/>
    </row>
    <row r="21" spans="1:5" x14ac:dyDescent="0.3">
      <c r="A21" s="50">
        <v>1</v>
      </c>
      <c r="B21" s="48" t="s">
        <v>507</v>
      </c>
      <c r="C21" s="48"/>
      <c r="D21" s="49">
        <v>0.05</v>
      </c>
      <c r="E21" s="9" t="s">
        <v>538</v>
      </c>
    </row>
    <row r="28" spans="1:5" x14ac:dyDescent="0.3">
      <c r="B28" s="3"/>
    </row>
    <row r="29" spans="1:5" x14ac:dyDescent="0.3">
      <c r="B29" s="3"/>
    </row>
  </sheetData>
  <mergeCells count="3">
    <mergeCell ref="A3:D3"/>
    <mergeCell ref="A13:D13"/>
    <mergeCell ref="A20:D20"/>
  </mergeCells>
  <dataValidations count="3">
    <dataValidation type="list" allowBlank="1" showInputMessage="1" showErrorMessage="1" sqref="D5" xr:uid="{4088795A-AA63-4675-8C8E-83B6FDA05DF0}">
      <formula1>$O$3:$O$4</formula1>
    </dataValidation>
    <dataValidation type="list" allowBlank="1" showInputMessage="1" showErrorMessage="1" sqref="D7" xr:uid="{367E2EC6-20C3-420D-A737-A4C53FA3B1C6}">
      <formula1>$O$6:$O$7</formula1>
    </dataValidation>
    <dataValidation type="whole" allowBlank="1" showInputMessage="1" showErrorMessage="1" sqref="D6" xr:uid="{5D045501-E94D-4343-B0C9-6E804B907509}">
      <formula1>18</formula1>
      <formula2>55</formula2>
    </dataValidation>
  </dataValidations>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0261B-97EA-4697-8FF1-AEBA9014523E}">
  <sheetPr codeName="Sheet3"/>
  <dimension ref="A2:M29"/>
  <sheetViews>
    <sheetView tabSelected="1" workbookViewId="0">
      <selection activeCell="H33" sqref="H33"/>
    </sheetView>
  </sheetViews>
  <sheetFormatPr defaultRowHeight="14.4" x14ac:dyDescent="0.3"/>
  <cols>
    <col min="2" max="2" width="10.109375" customWidth="1"/>
    <col min="3" max="3" width="11.88671875" customWidth="1"/>
    <col min="4" max="4" width="10.5546875" bestFit="1" customWidth="1"/>
    <col min="5" max="5" width="11" customWidth="1"/>
    <col min="6" max="6" width="10.109375" customWidth="1"/>
    <col min="7" max="7" width="9.6640625" customWidth="1"/>
    <col min="8" max="8" width="10.5546875" bestFit="1" customWidth="1"/>
    <col min="9" max="9" width="9.6640625" customWidth="1"/>
    <col min="10" max="10" width="10.33203125" customWidth="1"/>
    <col min="11" max="11" width="12.109375" customWidth="1"/>
    <col min="12" max="12" width="12.6640625" customWidth="1"/>
    <col min="13" max="13" width="13" customWidth="1"/>
  </cols>
  <sheetData>
    <row r="2" spans="1:13" x14ac:dyDescent="0.3">
      <c r="A2" t="s">
        <v>476</v>
      </c>
    </row>
    <row r="3" spans="1:13" ht="15" thickBot="1" x14ac:dyDescent="0.35"/>
    <row r="4" spans="1:13" ht="15" thickBot="1" x14ac:dyDescent="0.35">
      <c r="A4" s="72" t="s">
        <v>486</v>
      </c>
      <c r="B4" s="73"/>
      <c r="C4" s="70" t="str">
        <f>Assumptions!D5&amp;Assumptions!D6&amp;Assumptions!D7</f>
        <v>Male25Smoker</v>
      </c>
      <c r="D4" s="71"/>
    </row>
    <row r="6" spans="1:13" ht="15" customHeight="1" x14ac:dyDescent="0.3">
      <c r="A6" s="64" t="s">
        <v>41</v>
      </c>
      <c r="B6" s="78" t="s">
        <v>491</v>
      </c>
      <c r="C6" s="79"/>
      <c r="D6" s="80"/>
      <c r="E6" s="67" t="s">
        <v>480</v>
      </c>
      <c r="F6" s="74" t="s">
        <v>481</v>
      </c>
      <c r="G6" s="75"/>
      <c r="H6" s="67" t="s">
        <v>484</v>
      </c>
      <c r="I6" s="74" t="s">
        <v>485</v>
      </c>
      <c r="J6" s="75"/>
      <c r="K6" s="67" t="s">
        <v>505</v>
      </c>
      <c r="L6" s="60" t="s">
        <v>500</v>
      </c>
      <c r="M6" s="61"/>
    </row>
    <row r="7" spans="1:13" ht="15" customHeight="1" x14ac:dyDescent="0.3">
      <c r="A7" s="65"/>
      <c r="B7" s="81"/>
      <c r="C7" s="82"/>
      <c r="D7" s="83"/>
      <c r="E7" s="68"/>
      <c r="F7" s="76"/>
      <c r="G7" s="77"/>
      <c r="H7" s="68"/>
      <c r="I7" s="76"/>
      <c r="J7" s="77"/>
      <c r="K7" s="68"/>
      <c r="L7" s="62"/>
      <c r="M7" s="63"/>
    </row>
    <row r="8" spans="1:13" ht="47.25" customHeight="1" x14ac:dyDescent="0.3">
      <c r="A8" s="66"/>
      <c r="B8" s="18" t="s">
        <v>477</v>
      </c>
      <c r="C8" s="22" t="s">
        <v>478</v>
      </c>
      <c r="D8" s="20" t="s">
        <v>479</v>
      </c>
      <c r="E8" s="69"/>
      <c r="F8" s="22" t="s">
        <v>482</v>
      </c>
      <c r="G8" s="20" t="s">
        <v>483</v>
      </c>
      <c r="H8" s="69"/>
      <c r="I8" s="22" t="s">
        <v>482</v>
      </c>
      <c r="J8" s="19" t="s">
        <v>483</v>
      </c>
      <c r="K8" s="69"/>
      <c r="L8" s="23" t="s">
        <v>10</v>
      </c>
      <c r="M8" s="21" t="s">
        <v>11</v>
      </c>
    </row>
    <row r="9" spans="1:13" x14ac:dyDescent="0.3">
      <c r="A9" s="28">
        <v>1</v>
      </c>
      <c r="B9" s="29">
        <f ca="1">VLOOKUP(Assumptions!$D$6,INDIRECT(Assumptions!$D$8),PremiumCalculation!A9+1,FALSE)</f>
        <v>4.0999999999999999E-4</v>
      </c>
      <c r="C9" s="30">
        <f>Assumptions!$D$9</f>
        <v>0.9</v>
      </c>
      <c r="D9" s="31">
        <f ca="1">B9*C9</f>
        <v>3.6900000000000002E-4</v>
      </c>
      <c r="E9" s="32">
        <f t="shared" ref="E9:E18" si="0">lapse_rate</f>
        <v>0.03</v>
      </c>
      <c r="F9" s="29">
        <v>1</v>
      </c>
      <c r="G9" s="31">
        <f ca="1">F9*(1-B9)*(1-E9)</f>
        <v>0.96960229999999992</v>
      </c>
      <c r="H9" s="32">
        <f t="shared" ref="H9:H18" si="1">interest_rate</f>
        <v>0.03</v>
      </c>
      <c r="I9" s="30">
        <v>1</v>
      </c>
      <c r="J9" s="30">
        <f>I9/(1+H9)</f>
        <v>0.970873786407767</v>
      </c>
      <c r="K9" s="32">
        <f t="shared" ref="K9:K18" ca="1" si="2">F9*D9*face_amount</f>
        <v>73.800000000000011</v>
      </c>
      <c r="L9" s="24">
        <f>issue_expense</f>
        <v>100</v>
      </c>
      <c r="M9" s="25">
        <f t="shared" ref="M9:M18" si="3">maintenance_expense*F9</f>
        <v>30</v>
      </c>
    </row>
    <row r="10" spans="1:13" x14ac:dyDescent="0.3">
      <c r="A10" s="28">
        <v>2</v>
      </c>
      <c r="B10" s="29">
        <f ca="1">VLOOKUP(Assumptions!$D$6,INDIRECT(Assumptions!$D$8),PremiumCalculation!A10+1,FALSE)</f>
        <v>4.4999999999999999E-4</v>
      </c>
      <c r="C10" s="30">
        <f>Assumptions!$D$9</f>
        <v>0.9</v>
      </c>
      <c r="D10" s="31">
        <f t="shared" ref="D10:D18" ca="1" si="4">B10*C10</f>
        <v>4.0499999999999998E-4</v>
      </c>
      <c r="E10" s="32">
        <f t="shared" si="0"/>
        <v>0.03</v>
      </c>
      <c r="F10" s="29">
        <f ca="1">G9</f>
        <v>0.96960229999999992</v>
      </c>
      <c r="G10" s="31">
        <f t="shared" ref="G10:G18" ca="1" si="5">F10*(1-B10)*(1-E10)</f>
        <v>0.94009099959605003</v>
      </c>
      <c r="H10" s="32">
        <f t="shared" si="1"/>
        <v>0.03</v>
      </c>
      <c r="I10" s="30">
        <f>J9</f>
        <v>0.970873786407767</v>
      </c>
      <c r="J10" s="30">
        <f t="shared" ref="J10:J18" si="6">I10/(1+H10)</f>
        <v>0.94259590913375435</v>
      </c>
      <c r="K10" s="32">
        <f t="shared" ca="1" si="2"/>
        <v>78.537786299999993</v>
      </c>
      <c r="L10" s="24">
        <v>0</v>
      </c>
      <c r="M10" s="25">
        <f t="shared" ca="1" si="3"/>
        <v>29.088068999999997</v>
      </c>
    </row>
    <row r="11" spans="1:13" x14ac:dyDescent="0.3">
      <c r="A11" s="28">
        <v>3</v>
      </c>
      <c r="B11" s="29">
        <f ca="1">VLOOKUP(Assumptions!$D$6,INDIRECT(Assumptions!$D$8),PremiumCalculation!A11+1,FALSE)</f>
        <v>4.6999999999999999E-4</v>
      </c>
      <c r="C11" s="30">
        <f>Assumptions!$D$9</f>
        <v>0.9</v>
      </c>
      <c r="D11" s="31">
        <f t="shared" ca="1" si="4"/>
        <v>4.2299999999999998E-4</v>
      </c>
      <c r="E11" s="32">
        <f t="shared" si="0"/>
        <v>0.03</v>
      </c>
      <c r="F11" s="29">
        <f ca="1">G10</f>
        <v>0.94009099959605003</v>
      </c>
      <c r="G11" s="31">
        <f t="shared" ca="1" si="5"/>
        <v>0.91145968212145267</v>
      </c>
      <c r="H11" s="32">
        <f t="shared" si="1"/>
        <v>0.03</v>
      </c>
      <c r="I11" s="30">
        <f>J10</f>
        <v>0.94259590913375435</v>
      </c>
      <c r="J11" s="30">
        <f t="shared" si="6"/>
        <v>0.9151416593531595</v>
      </c>
      <c r="K11" s="32">
        <f t="shared" ca="1" si="2"/>
        <v>79.53169856582582</v>
      </c>
      <c r="L11" s="24">
        <v>0</v>
      </c>
      <c r="M11" s="25">
        <f t="shared" ca="1" si="3"/>
        <v>28.202729987881501</v>
      </c>
    </row>
    <row r="12" spans="1:13" x14ac:dyDescent="0.3">
      <c r="A12" s="28">
        <v>4</v>
      </c>
      <c r="B12" s="29">
        <f ca="1">VLOOKUP(Assumptions!$D$6,INDIRECT(Assumptions!$D$8),PremiumCalculation!A12+1,FALSE)</f>
        <v>5.0000000000000001E-4</v>
      </c>
      <c r="C12" s="30">
        <f>Assumptions!$D$9</f>
        <v>0.9</v>
      </c>
      <c r="D12" s="31">
        <f t="shared" ca="1" si="4"/>
        <v>4.5000000000000004E-4</v>
      </c>
      <c r="E12" s="32">
        <f t="shared" si="0"/>
        <v>0.03</v>
      </c>
      <c r="F12" s="29">
        <f t="shared" ref="F12:F18" ca="1" si="7">G11</f>
        <v>0.91145968212145267</v>
      </c>
      <c r="G12" s="31">
        <f t="shared" ca="1" si="5"/>
        <v>0.88367383371198016</v>
      </c>
      <c r="H12" s="32">
        <f t="shared" si="1"/>
        <v>0.03</v>
      </c>
      <c r="I12" s="30">
        <f t="shared" ref="I12:I18" si="8">J11</f>
        <v>0.9151416593531595</v>
      </c>
      <c r="J12" s="30">
        <f t="shared" si="6"/>
        <v>0.88848704791568878</v>
      </c>
      <c r="K12" s="32">
        <f t="shared" ca="1" si="2"/>
        <v>82.031371390930744</v>
      </c>
      <c r="L12" s="24">
        <v>0</v>
      </c>
      <c r="M12" s="25">
        <f t="shared" ca="1" si="3"/>
        <v>27.343790463643579</v>
      </c>
    </row>
    <row r="13" spans="1:13" x14ac:dyDescent="0.3">
      <c r="A13" s="28">
        <v>5</v>
      </c>
      <c r="B13" s="29">
        <f ca="1">VLOOKUP(Assumptions!$D$6,INDIRECT(Assumptions!$D$8),PremiumCalculation!A13+1,FALSE)</f>
        <v>5.2999999999999998E-4</v>
      </c>
      <c r="C13" s="30">
        <f>Assumptions!$D$9</f>
        <v>0.9</v>
      </c>
      <c r="D13" s="31">
        <f t="shared" ca="1" si="4"/>
        <v>4.7699999999999999E-4</v>
      </c>
      <c r="E13" s="32">
        <f t="shared" si="0"/>
        <v>0.03</v>
      </c>
      <c r="F13" s="29">
        <f t="shared" ca="1" si="7"/>
        <v>0.88367383371198016</v>
      </c>
      <c r="G13" s="31">
        <f t="shared" ca="1" si="5"/>
        <v>0.85670932198270933</v>
      </c>
      <c r="H13" s="32">
        <f t="shared" si="1"/>
        <v>0.03</v>
      </c>
      <c r="I13" s="30">
        <f t="shared" si="8"/>
        <v>0.88848704791568878</v>
      </c>
      <c r="J13" s="30">
        <f t="shared" si="6"/>
        <v>0.86260878438416388</v>
      </c>
      <c r="K13" s="32">
        <f t="shared" ca="1" si="2"/>
        <v>84.302483736122909</v>
      </c>
      <c r="L13" s="24">
        <v>0</v>
      </c>
      <c r="M13" s="25">
        <f t="shared" ca="1" si="3"/>
        <v>26.510215011359406</v>
      </c>
    </row>
    <row r="14" spans="1:13" x14ac:dyDescent="0.3">
      <c r="A14" s="28">
        <v>6</v>
      </c>
      <c r="B14" s="29">
        <f ca="1">VLOOKUP(Assumptions!$D$6,INDIRECT(Assumptions!$D$8),PremiumCalculation!A14+1,FALSE)</f>
        <v>5.6999999999999998E-4</v>
      </c>
      <c r="C14" s="30">
        <f>Assumptions!$D$9</f>
        <v>0.9</v>
      </c>
      <c r="D14" s="31">
        <f t="shared" ca="1" si="4"/>
        <v>5.13E-4</v>
      </c>
      <c r="E14" s="32">
        <f t="shared" si="0"/>
        <v>0.03</v>
      </c>
      <c r="F14" s="29">
        <f t="shared" ca="1" si="7"/>
        <v>0.85670932198270933</v>
      </c>
      <c r="G14" s="31">
        <f t="shared" ca="1" si="5"/>
        <v>0.83053436773910383</v>
      </c>
      <c r="H14" s="32">
        <f t="shared" si="1"/>
        <v>0.03</v>
      </c>
      <c r="I14" s="30">
        <f t="shared" si="8"/>
        <v>0.86260878438416388</v>
      </c>
      <c r="J14" s="30">
        <f t="shared" si="6"/>
        <v>0.83748425668365423</v>
      </c>
      <c r="K14" s="32">
        <f t="shared" ca="1" si="2"/>
        <v>87.898376435425973</v>
      </c>
      <c r="L14" s="24">
        <v>0</v>
      </c>
      <c r="M14" s="25">
        <f t="shared" ca="1" si="3"/>
        <v>25.70127965948128</v>
      </c>
    </row>
    <row r="15" spans="1:13" x14ac:dyDescent="0.3">
      <c r="A15" s="28">
        <v>7</v>
      </c>
      <c r="B15" s="29">
        <f ca="1">VLOOKUP(Assumptions!$D$6,INDIRECT(Assumptions!$D$8),PremiumCalculation!A15+1,FALSE)</f>
        <v>6.3000000000000003E-4</v>
      </c>
      <c r="C15" s="30">
        <f>Assumptions!$D$9</f>
        <v>0.9</v>
      </c>
      <c r="D15" s="31">
        <f t="shared" ca="1" si="4"/>
        <v>5.6700000000000001E-4</v>
      </c>
      <c r="E15" s="32">
        <f t="shared" si="0"/>
        <v>0.03</v>
      </c>
      <c r="F15" s="29">
        <f t="shared" ca="1" si="7"/>
        <v>0.83053436773910383</v>
      </c>
      <c r="G15" s="31">
        <f t="shared" ca="1" si="5"/>
        <v>0.80511079715480527</v>
      </c>
      <c r="H15" s="32">
        <f t="shared" si="1"/>
        <v>0.03</v>
      </c>
      <c r="I15" s="30">
        <f t="shared" si="8"/>
        <v>0.83748425668365423</v>
      </c>
      <c r="J15" s="30">
        <f t="shared" si="6"/>
        <v>0.81309151134335356</v>
      </c>
      <c r="K15" s="32">
        <f t="shared" ca="1" si="2"/>
        <v>94.182597301614379</v>
      </c>
      <c r="L15" s="24">
        <v>0</v>
      </c>
      <c r="M15" s="25">
        <f t="shared" ca="1" si="3"/>
        <v>24.916031032173116</v>
      </c>
    </row>
    <row r="16" spans="1:13" x14ac:dyDescent="0.3">
      <c r="A16" s="28">
        <v>8</v>
      </c>
      <c r="B16" s="29">
        <f ca="1">VLOOKUP(Assumptions!$D$6,INDIRECT(Assumptions!$D$8),PremiumCalculation!A16+1,FALSE)</f>
        <v>6.8999999999999997E-4</v>
      </c>
      <c r="C16" s="30">
        <f>Assumptions!$D$9</f>
        <v>0.9</v>
      </c>
      <c r="D16" s="31">
        <f t="shared" ca="1" si="4"/>
        <v>6.2100000000000002E-4</v>
      </c>
      <c r="E16" s="32">
        <f t="shared" si="0"/>
        <v>0.03</v>
      </c>
      <c r="F16" s="29">
        <f t="shared" ca="1" si="7"/>
        <v>0.80511079715480527</v>
      </c>
      <c r="G16" s="31">
        <f t="shared" ca="1" si="5"/>
        <v>0.78041861258362544</v>
      </c>
      <c r="H16" s="32">
        <f t="shared" si="1"/>
        <v>0.03</v>
      </c>
      <c r="I16" s="30">
        <f t="shared" si="8"/>
        <v>0.81309151134335356</v>
      </c>
      <c r="J16" s="30">
        <f t="shared" si="6"/>
        <v>0.7894092343139355</v>
      </c>
      <c r="K16" s="32">
        <f t="shared" ca="1" si="2"/>
        <v>99.994761006626831</v>
      </c>
      <c r="L16" s="24">
        <v>0</v>
      </c>
      <c r="M16" s="25">
        <f t="shared" ca="1" si="3"/>
        <v>24.153323914644158</v>
      </c>
    </row>
    <row r="17" spans="1:13" x14ac:dyDescent="0.3">
      <c r="A17" s="28">
        <v>9</v>
      </c>
      <c r="B17" s="29">
        <f ca="1">VLOOKUP(Assumptions!$D$6,INDIRECT(Assumptions!$D$8),PremiumCalculation!A17+1,FALSE)</f>
        <v>7.6999999999999996E-4</v>
      </c>
      <c r="C17" s="30">
        <f>Assumptions!$D$9</f>
        <v>0.9</v>
      </c>
      <c r="D17" s="31">
        <f t="shared" ca="1" si="4"/>
        <v>6.9299999999999993E-4</v>
      </c>
      <c r="E17" s="32">
        <f t="shared" si="0"/>
        <v>0.03</v>
      </c>
      <c r="F17" s="29">
        <f t="shared" ca="1" si="7"/>
        <v>0.78041861258362544</v>
      </c>
      <c r="G17" s="31">
        <f t="shared" ca="1" si="5"/>
        <v>0.75642315954437789</v>
      </c>
      <c r="H17" s="32">
        <f t="shared" si="1"/>
        <v>0.03</v>
      </c>
      <c r="I17" s="30">
        <f t="shared" si="8"/>
        <v>0.7894092343139355</v>
      </c>
      <c r="J17" s="30">
        <f t="shared" si="6"/>
        <v>0.76641673234362673</v>
      </c>
      <c r="K17" s="32">
        <f t="shared" ca="1" si="2"/>
        <v>108.16601970409047</v>
      </c>
      <c r="L17" s="24">
        <v>0</v>
      </c>
      <c r="M17" s="25">
        <f t="shared" ca="1" si="3"/>
        <v>23.412558377508763</v>
      </c>
    </row>
    <row r="18" spans="1:13" x14ac:dyDescent="0.3">
      <c r="A18" s="33">
        <v>10</v>
      </c>
      <c r="B18" s="34">
        <f ca="1">VLOOKUP(Assumptions!$D$6,INDIRECT(Assumptions!$D$8),PremiumCalculation!A18+1,FALSE)</f>
        <v>8.4999999999999995E-4</v>
      </c>
      <c r="C18" s="35">
        <f>Assumptions!$D$9</f>
        <v>0.9</v>
      </c>
      <c r="D18" s="36">
        <f t="shared" ca="1" si="4"/>
        <v>7.6499999999999995E-4</v>
      </c>
      <c r="E18" s="37">
        <f t="shared" si="0"/>
        <v>0.03</v>
      </c>
      <c r="F18" s="34">
        <f t="shared" ca="1" si="7"/>
        <v>0.75642315954437789</v>
      </c>
      <c r="G18" s="36">
        <f t="shared" ca="1" si="5"/>
        <v>0.73310679386300215</v>
      </c>
      <c r="H18" s="37">
        <f t="shared" si="1"/>
        <v>0.03</v>
      </c>
      <c r="I18" s="35">
        <f t="shared" si="8"/>
        <v>0.76641673234362673</v>
      </c>
      <c r="J18" s="35">
        <f t="shared" si="6"/>
        <v>0.74409391489672494</v>
      </c>
      <c r="K18" s="37">
        <f t="shared" ca="1" si="2"/>
        <v>115.7327434102898</v>
      </c>
      <c r="L18" s="26">
        <v>0</v>
      </c>
      <c r="M18" s="27">
        <f t="shared" ca="1" si="3"/>
        <v>22.692694786331337</v>
      </c>
    </row>
    <row r="21" spans="1:13" x14ac:dyDescent="0.3">
      <c r="A21" t="s">
        <v>501</v>
      </c>
      <c r="D21" s="51">
        <f ca="1">SUMPRODUCT(J9:J18,K9:K18)</f>
        <v>762.21216818689288</v>
      </c>
    </row>
    <row r="22" spans="1:13" x14ac:dyDescent="0.3">
      <c r="A22" t="s">
        <v>502</v>
      </c>
    </row>
    <row r="23" spans="1:13" x14ac:dyDescent="0.3">
      <c r="A23" s="16" t="s">
        <v>497</v>
      </c>
      <c r="B23" s="47"/>
      <c r="C23" s="47"/>
      <c r="D23" s="52">
        <f>SUMPRODUCT(I9:I18,L9:L18)</f>
        <v>100</v>
      </c>
    </row>
    <row r="24" spans="1:13" x14ac:dyDescent="0.3">
      <c r="A24" s="16" t="s">
        <v>503</v>
      </c>
      <c r="B24" s="47"/>
      <c r="C24" s="47"/>
      <c r="D24" s="52">
        <f ca="1">SUMPRODUCT(J9:J18,M9:M18)</f>
        <v>225.19610951648687</v>
      </c>
    </row>
    <row r="25" spans="1:13" x14ac:dyDescent="0.3">
      <c r="A25" s="46" t="s">
        <v>504</v>
      </c>
      <c r="D25" s="51">
        <f ca="1">SUM(D23:D24)</f>
        <v>325.1961095164869</v>
      </c>
    </row>
    <row r="26" spans="1:13" x14ac:dyDescent="0.3">
      <c r="A26" t="s">
        <v>508</v>
      </c>
      <c r="D26" s="2">
        <f>Assumptions!D21</f>
        <v>0.05</v>
      </c>
    </row>
    <row r="27" spans="1:13" x14ac:dyDescent="0.3">
      <c r="D27" s="2"/>
    </row>
    <row r="28" spans="1:13" ht="15" thickBot="1" x14ac:dyDescent="0.35">
      <c r="A28" s="47" t="s">
        <v>510</v>
      </c>
      <c r="B28" s="47"/>
      <c r="C28" s="47"/>
      <c r="D28" s="47">
        <f ca="1">SUMPRODUCT(F9:F18,I9:I18)</f>
        <v>7.7317330933993818</v>
      </c>
    </row>
    <row r="29" spans="1:13" ht="15" thickBot="1" x14ac:dyDescent="0.35">
      <c r="A29" s="1" t="s">
        <v>509</v>
      </c>
      <c r="D29" s="53">
        <f ca="1">(SUM(D21,D25)*(1+D26))/D28</f>
        <v>147.67435422250813</v>
      </c>
      <c r="F29" s="15"/>
    </row>
  </sheetData>
  <mergeCells count="10">
    <mergeCell ref="L6:M7"/>
    <mergeCell ref="A6:A8"/>
    <mergeCell ref="E6:E8"/>
    <mergeCell ref="H6:H8"/>
    <mergeCell ref="C4:D4"/>
    <mergeCell ref="A4:B4"/>
    <mergeCell ref="K6:K8"/>
    <mergeCell ref="I6:J7"/>
    <mergeCell ref="F6:G7"/>
    <mergeCell ref="B6:D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06F39-7C49-46AF-85FB-91D469126A29}">
  <sheetPr codeName="Sheet9"/>
  <dimension ref="A1:V41"/>
  <sheetViews>
    <sheetView workbookViewId="0">
      <selection activeCell="J11" sqref="J11"/>
    </sheetView>
  </sheetViews>
  <sheetFormatPr defaultRowHeight="14.4" x14ac:dyDescent="0.3"/>
  <cols>
    <col min="1" max="3" width="14.33203125" customWidth="1"/>
    <col min="4" max="4" width="15.5546875" bestFit="1" customWidth="1"/>
    <col min="9" max="9" width="17.6640625" bestFit="1" customWidth="1"/>
    <col min="10" max="10" width="13.88671875" bestFit="1" customWidth="1"/>
    <col min="15" max="15" width="17.6640625" bestFit="1" customWidth="1"/>
    <col min="16" max="16" width="13.88671875" bestFit="1" customWidth="1"/>
    <col min="21" max="21" width="17.6640625" bestFit="1" customWidth="1"/>
  </cols>
  <sheetData>
    <row r="1" spans="1:22" x14ac:dyDescent="0.3">
      <c r="A1" s="9" t="s">
        <v>537</v>
      </c>
    </row>
    <row r="2" spans="1:22" x14ac:dyDescent="0.3">
      <c r="A2" t="s">
        <v>525</v>
      </c>
      <c r="G2" t="s">
        <v>525</v>
      </c>
      <c r="M2" t="s">
        <v>526</v>
      </c>
      <c r="S2" t="s">
        <v>526</v>
      </c>
    </row>
    <row r="3" spans="1:22" x14ac:dyDescent="0.3">
      <c r="A3" t="s">
        <v>4</v>
      </c>
      <c r="B3" t="s">
        <v>2</v>
      </c>
      <c r="C3" t="s">
        <v>521</v>
      </c>
      <c r="D3" t="s">
        <v>524</v>
      </c>
      <c r="G3" t="s">
        <v>4</v>
      </c>
      <c r="H3" t="s">
        <v>2</v>
      </c>
      <c r="I3" t="s">
        <v>521</v>
      </c>
      <c r="J3" t="s">
        <v>524</v>
      </c>
      <c r="M3" t="s">
        <v>4</v>
      </c>
      <c r="N3" t="s">
        <v>2</v>
      </c>
      <c r="O3" t="s">
        <v>521</v>
      </c>
      <c r="P3" t="s">
        <v>524</v>
      </c>
      <c r="S3" t="s">
        <v>4</v>
      </c>
      <c r="T3" t="s">
        <v>2</v>
      </c>
      <c r="U3" t="s">
        <v>521</v>
      </c>
      <c r="V3" t="s">
        <v>524</v>
      </c>
    </row>
    <row r="4" spans="1:22" x14ac:dyDescent="0.3">
      <c r="A4">
        <v>18</v>
      </c>
      <c r="B4" t="s">
        <v>3</v>
      </c>
      <c r="C4" t="s">
        <v>7</v>
      </c>
      <c r="D4">
        <v>166.16617420341569</v>
      </c>
      <c r="G4">
        <v>18</v>
      </c>
      <c r="H4" t="s">
        <v>3</v>
      </c>
      <c r="I4" t="s">
        <v>6</v>
      </c>
      <c r="J4">
        <v>184.87029736016711</v>
      </c>
      <c r="M4">
        <v>18</v>
      </c>
      <c r="N4" t="s">
        <v>488</v>
      </c>
      <c r="O4" t="s">
        <v>7</v>
      </c>
      <c r="P4">
        <v>93.301230978319609</v>
      </c>
      <c r="S4">
        <v>18</v>
      </c>
      <c r="T4" t="s">
        <v>488</v>
      </c>
      <c r="U4" t="s">
        <v>6</v>
      </c>
      <c r="V4">
        <v>97.923690380689393</v>
      </c>
    </row>
    <row r="5" spans="1:22" x14ac:dyDescent="0.3">
      <c r="A5">
        <v>19</v>
      </c>
      <c r="B5" t="s">
        <v>3</v>
      </c>
      <c r="C5" t="s">
        <v>7</v>
      </c>
      <c r="D5">
        <v>153.12663056796288</v>
      </c>
      <c r="G5">
        <v>19</v>
      </c>
      <c r="H5" t="s">
        <v>3</v>
      </c>
      <c r="I5" t="s">
        <v>6</v>
      </c>
      <c r="J5">
        <v>176.73074417716532</v>
      </c>
      <c r="M5">
        <v>19</v>
      </c>
      <c r="N5" t="s">
        <v>488</v>
      </c>
      <c r="O5" t="s">
        <v>7</v>
      </c>
      <c r="P5">
        <v>90.499790981431659</v>
      </c>
      <c r="S5">
        <v>19</v>
      </c>
      <c r="T5" t="s">
        <v>488</v>
      </c>
      <c r="U5" t="s">
        <v>6</v>
      </c>
      <c r="V5">
        <v>97.105882020002767</v>
      </c>
    </row>
    <row r="6" spans="1:22" x14ac:dyDescent="0.3">
      <c r="A6">
        <v>20</v>
      </c>
      <c r="B6" t="s">
        <v>3</v>
      </c>
      <c r="C6" t="s">
        <v>7</v>
      </c>
      <c r="D6">
        <v>138.93464984623427</v>
      </c>
      <c r="G6">
        <v>20</v>
      </c>
      <c r="H6" t="s">
        <v>3</v>
      </c>
      <c r="I6" t="s">
        <v>6</v>
      </c>
      <c r="J6">
        <v>168.97158587503023</v>
      </c>
      <c r="M6">
        <v>20</v>
      </c>
      <c r="N6" t="s">
        <v>488</v>
      </c>
      <c r="O6" t="s">
        <v>7</v>
      </c>
      <c r="P6">
        <v>86.6404678253936</v>
      </c>
      <c r="S6">
        <v>20</v>
      </c>
      <c r="T6" t="s">
        <v>488</v>
      </c>
      <c r="U6" t="s">
        <v>6</v>
      </c>
      <c r="V6">
        <v>95.41892217849319</v>
      </c>
    </row>
    <row r="7" spans="1:22" x14ac:dyDescent="0.3">
      <c r="A7">
        <v>21</v>
      </c>
      <c r="B7" t="s">
        <v>3</v>
      </c>
      <c r="C7" t="s">
        <v>7</v>
      </c>
      <c r="D7">
        <v>124.94931704986303</v>
      </c>
      <c r="G7">
        <v>21</v>
      </c>
      <c r="H7" t="s">
        <v>3</v>
      </c>
      <c r="I7" t="s">
        <v>6</v>
      </c>
      <c r="J7">
        <v>160.9131969786005</v>
      </c>
      <c r="M7">
        <v>21</v>
      </c>
      <c r="N7" t="s">
        <v>488</v>
      </c>
      <c r="O7" t="s">
        <v>7</v>
      </c>
      <c r="P7">
        <v>83.888160082848557</v>
      </c>
      <c r="S7">
        <v>21</v>
      </c>
      <c r="T7" t="s">
        <v>488</v>
      </c>
      <c r="U7" t="s">
        <v>6</v>
      </c>
      <c r="V7">
        <v>95.204973754286641</v>
      </c>
    </row>
    <row r="8" spans="1:22" x14ac:dyDescent="0.3">
      <c r="A8">
        <v>22</v>
      </c>
      <c r="B8" t="s">
        <v>3</v>
      </c>
      <c r="C8" t="s">
        <v>7</v>
      </c>
      <c r="D8">
        <v>114.04255679466463</v>
      </c>
      <c r="G8">
        <v>22</v>
      </c>
      <c r="H8" t="s">
        <v>3</v>
      </c>
      <c r="I8" t="s">
        <v>6</v>
      </c>
      <c r="J8">
        <v>154.5336884522797</v>
      </c>
      <c r="M8">
        <v>22</v>
      </c>
      <c r="N8" t="s">
        <v>488</v>
      </c>
      <c r="O8" t="s">
        <v>7</v>
      </c>
      <c r="P8">
        <v>81.743813936142374</v>
      </c>
      <c r="S8">
        <v>22</v>
      </c>
      <c r="T8" t="s">
        <v>488</v>
      </c>
      <c r="U8" t="s">
        <v>6</v>
      </c>
      <c r="V8">
        <v>96.757031722187165</v>
      </c>
    </row>
    <row r="9" spans="1:22" x14ac:dyDescent="0.3">
      <c r="A9">
        <v>23</v>
      </c>
      <c r="B9" t="s">
        <v>3</v>
      </c>
      <c r="C9" t="s">
        <v>7</v>
      </c>
      <c r="D9">
        <v>105.51305445777562</v>
      </c>
      <c r="G9">
        <v>23</v>
      </c>
      <c r="H9" t="s">
        <v>3</v>
      </c>
      <c r="I9" t="s">
        <v>6</v>
      </c>
      <c r="J9">
        <v>150.13062741096229</v>
      </c>
      <c r="M9">
        <v>23</v>
      </c>
      <c r="N9" t="s">
        <v>488</v>
      </c>
      <c r="O9" t="s">
        <v>7</v>
      </c>
      <c r="P9">
        <v>80.885782895186097</v>
      </c>
      <c r="S9">
        <v>23</v>
      </c>
      <c r="T9" t="s">
        <v>488</v>
      </c>
      <c r="U9" t="s">
        <v>6</v>
      </c>
      <c r="V9">
        <v>98.548325721117351</v>
      </c>
    </row>
    <row r="10" spans="1:22" x14ac:dyDescent="0.3">
      <c r="A10">
        <v>24</v>
      </c>
      <c r="B10" t="s">
        <v>3</v>
      </c>
      <c r="C10" t="s">
        <v>7</v>
      </c>
      <c r="D10">
        <v>99.57151446197669</v>
      </c>
      <c r="G10">
        <v>24</v>
      </c>
      <c r="H10" t="s">
        <v>3</v>
      </c>
      <c r="I10" t="s">
        <v>6</v>
      </c>
      <c r="J10">
        <v>147.95395845312291</v>
      </c>
      <c r="M10">
        <v>24</v>
      </c>
      <c r="N10" t="s">
        <v>488</v>
      </c>
      <c r="O10" t="s">
        <v>7</v>
      </c>
      <c r="P10">
        <v>79.12344116938408</v>
      </c>
      <c r="S10">
        <v>24</v>
      </c>
      <c r="T10" t="s">
        <v>488</v>
      </c>
      <c r="U10" t="s">
        <v>6</v>
      </c>
      <c r="V10">
        <v>102.03197477671861</v>
      </c>
    </row>
    <row r="11" spans="1:22" x14ac:dyDescent="0.3">
      <c r="A11">
        <v>25</v>
      </c>
      <c r="B11" t="s">
        <v>3</v>
      </c>
      <c r="C11" t="s">
        <v>7</v>
      </c>
      <c r="D11">
        <v>96.273482117369966</v>
      </c>
      <c r="G11">
        <v>25</v>
      </c>
      <c r="H11" t="s">
        <v>3</v>
      </c>
      <c r="I11" t="s">
        <v>6</v>
      </c>
      <c r="J11">
        <v>147.67435422250813</v>
      </c>
      <c r="M11">
        <v>25</v>
      </c>
      <c r="N11" t="s">
        <v>488</v>
      </c>
      <c r="O11" t="s">
        <v>7</v>
      </c>
      <c r="P11">
        <v>78.502715161507126</v>
      </c>
      <c r="S11">
        <v>25</v>
      </c>
      <c r="T11" t="s">
        <v>488</v>
      </c>
      <c r="U11" t="s">
        <v>6</v>
      </c>
      <c r="V11">
        <v>105.60110967838276</v>
      </c>
    </row>
    <row r="12" spans="1:22" x14ac:dyDescent="0.3">
      <c r="A12">
        <v>26</v>
      </c>
      <c r="B12" t="s">
        <v>3</v>
      </c>
      <c r="C12" t="s">
        <v>7</v>
      </c>
      <c r="D12">
        <v>94.730386259075559</v>
      </c>
      <c r="G12">
        <v>26</v>
      </c>
      <c r="H12" t="s">
        <v>3</v>
      </c>
      <c r="I12" t="s">
        <v>6</v>
      </c>
      <c r="J12">
        <v>148.60916011347095</v>
      </c>
      <c r="M12">
        <v>26</v>
      </c>
      <c r="N12" t="s">
        <v>488</v>
      </c>
      <c r="O12" t="s">
        <v>7</v>
      </c>
      <c r="P12">
        <v>78.904303039663105</v>
      </c>
      <c r="S12">
        <v>26</v>
      </c>
      <c r="T12" t="s">
        <v>488</v>
      </c>
      <c r="U12" t="s">
        <v>6</v>
      </c>
      <c r="V12">
        <v>110.73708221593456</v>
      </c>
    </row>
    <row r="13" spans="1:22" x14ac:dyDescent="0.3">
      <c r="A13">
        <v>27</v>
      </c>
      <c r="B13" t="s">
        <v>3</v>
      </c>
      <c r="C13" t="s">
        <v>7</v>
      </c>
      <c r="D13">
        <v>95.45464806549127</v>
      </c>
      <c r="G13">
        <v>27</v>
      </c>
      <c r="H13" t="s">
        <v>3</v>
      </c>
      <c r="I13" t="s">
        <v>6</v>
      </c>
      <c r="J13">
        <v>151.4146644369799</v>
      </c>
      <c r="M13">
        <v>27</v>
      </c>
      <c r="N13" t="s">
        <v>488</v>
      </c>
      <c r="O13" t="s">
        <v>7</v>
      </c>
      <c r="P13">
        <v>80.233973036058572</v>
      </c>
      <c r="S13">
        <v>27</v>
      </c>
      <c r="T13" t="s">
        <v>488</v>
      </c>
      <c r="U13" t="s">
        <v>6</v>
      </c>
      <c r="V13">
        <v>116.67713821073481</v>
      </c>
    </row>
    <row r="14" spans="1:22" x14ac:dyDescent="0.3">
      <c r="A14">
        <v>28</v>
      </c>
      <c r="B14" t="s">
        <v>3</v>
      </c>
      <c r="C14" t="s">
        <v>7</v>
      </c>
      <c r="D14">
        <v>97.344900542817271</v>
      </c>
      <c r="G14">
        <v>28</v>
      </c>
      <c r="H14" t="s">
        <v>3</v>
      </c>
      <c r="I14" t="s">
        <v>6</v>
      </c>
      <c r="J14">
        <v>156.97924447113215</v>
      </c>
      <c r="M14">
        <v>28</v>
      </c>
      <c r="N14" t="s">
        <v>488</v>
      </c>
      <c r="O14" t="s">
        <v>7</v>
      </c>
      <c r="P14">
        <v>81.666348165376135</v>
      </c>
      <c r="S14">
        <v>28</v>
      </c>
      <c r="T14" t="s">
        <v>488</v>
      </c>
      <c r="U14" t="s">
        <v>6</v>
      </c>
      <c r="V14">
        <v>123.88486180420303</v>
      </c>
    </row>
    <row r="15" spans="1:22" x14ac:dyDescent="0.3">
      <c r="A15">
        <v>29</v>
      </c>
      <c r="B15" t="s">
        <v>3</v>
      </c>
      <c r="C15" t="s">
        <v>7</v>
      </c>
      <c r="D15">
        <v>97.884728277152888</v>
      </c>
      <c r="G15">
        <v>29</v>
      </c>
      <c r="H15" t="s">
        <v>3</v>
      </c>
      <c r="I15" t="s">
        <v>6</v>
      </c>
      <c r="J15">
        <v>166.3191830281518</v>
      </c>
      <c r="M15">
        <v>29</v>
      </c>
      <c r="N15" t="s">
        <v>488</v>
      </c>
      <c r="O15" t="s">
        <v>7</v>
      </c>
      <c r="P15">
        <v>84.42413832124069</v>
      </c>
      <c r="S15">
        <v>29</v>
      </c>
      <c r="T15" t="s">
        <v>488</v>
      </c>
      <c r="U15" t="s">
        <v>6</v>
      </c>
      <c r="V15">
        <v>132.59541289904985</v>
      </c>
    </row>
    <row r="16" spans="1:22" x14ac:dyDescent="0.3">
      <c r="A16">
        <v>30</v>
      </c>
      <c r="B16" t="s">
        <v>3</v>
      </c>
      <c r="C16" t="s">
        <v>7</v>
      </c>
      <c r="D16">
        <v>98.268933119823288</v>
      </c>
      <c r="G16">
        <v>30</v>
      </c>
      <c r="H16" t="s">
        <v>3</v>
      </c>
      <c r="I16" t="s">
        <v>6</v>
      </c>
      <c r="J16">
        <v>177.22130360568556</v>
      </c>
      <c r="M16">
        <v>30</v>
      </c>
      <c r="N16" t="s">
        <v>488</v>
      </c>
      <c r="O16" t="s">
        <v>7</v>
      </c>
      <c r="P16">
        <v>86.835735543592065</v>
      </c>
      <c r="S16">
        <v>30</v>
      </c>
      <c r="T16" t="s">
        <v>488</v>
      </c>
      <c r="U16" t="s">
        <v>6</v>
      </c>
      <c r="V16">
        <v>141.98069535695544</v>
      </c>
    </row>
    <row r="17" spans="1:22" x14ac:dyDescent="0.3">
      <c r="A17">
        <v>31</v>
      </c>
      <c r="B17" t="s">
        <v>3</v>
      </c>
      <c r="C17" t="s">
        <v>7</v>
      </c>
      <c r="D17">
        <v>100.09400993488123</v>
      </c>
      <c r="G17">
        <v>31</v>
      </c>
      <c r="H17" t="s">
        <v>3</v>
      </c>
      <c r="I17" t="s">
        <v>6</v>
      </c>
      <c r="J17">
        <v>188.94899391585412</v>
      </c>
      <c r="M17">
        <v>31</v>
      </c>
      <c r="N17" t="s">
        <v>488</v>
      </c>
      <c r="O17" t="s">
        <v>7</v>
      </c>
      <c r="P17">
        <v>90.615055552142564</v>
      </c>
      <c r="S17">
        <v>31</v>
      </c>
      <c r="T17" t="s">
        <v>488</v>
      </c>
      <c r="U17" t="s">
        <v>6</v>
      </c>
      <c r="V17">
        <v>151.581657423346</v>
      </c>
    </row>
    <row r="18" spans="1:22" x14ac:dyDescent="0.3">
      <c r="A18">
        <v>32</v>
      </c>
      <c r="B18" t="s">
        <v>3</v>
      </c>
      <c r="C18" t="s">
        <v>7</v>
      </c>
      <c r="D18">
        <v>104.12568156832383</v>
      </c>
      <c r="G18">
        <v>32</v>
      </c>
      <c r="H18" t="s">
        <v>3</v>
      </c>
      <c r="I18" t="s">
        <v>6</v>
      </c>
      <c r="J18">
        <v>201.62568229975656</v>
      </c>
      <c r="M18">
        <v>32</v>
      </c>
      <c r="N18" t="s">
        <v>488</v>
      </c>
      <c r="O18" t="s">
        <v>7</v>
      </c>
      <c r="P18">
        <v>93.792888886888633</v>
      </c>
      <c r="S18">
        <v>32</v>
      </c>
      <c r="T18" t="s">
        <v>488</v>
      </c>
      <c r="U18" t="s">
        <v>6</v>
      </c>
      <c r="V18">
        <v>162.75723971023768</v>
      </c>
    </row>
    <row r="19" spans="1:22" x14ac:dyDescent="0.3">
      <c r="A19">
        <v>33</v>
      </c>
      <c r="B19" t="s">
        <v>3</v>
      </c>
      <c r="C19" t="s">
        <v>7</v>
      </c>
      <c r="D19">
        <v>108.39931664719025</v>
      </c>
      <c r="G19">
        <v>33</v>
      </c>
      <c r="H19" t="s">
        <v>3</v>
      </c>
      <c r="I19" t="s">
        <v>6</v>
      </c>
      <c r="J19">
        <v>213.66592257449349</v>
      </c>
      <c r="M19">
        <v>33</v>
      </c>
      <c r="N19" t="s">
        <v>488</v>
      </c>
      <c r="O19" t="s">
        <v>7</v>
      </c>
      <c r="P19">
        <v>97.645038306373721</v>
      </c>
      <c r="S19">
        <v>33</v>
      </c>
      <c r="T19" t="s">
        <v>488</v>
      </c>
      <c r="U19" t="s">
        <v>6</v>
      </c>
      <c r="V19">
        <v>173.61887833841911</v>
      </c>
    </row>
    <row r="20" spans="1:22" x14ac:dyDescent="0.3">
      <c r="A20">
        <v>34</v>
      </c>
      <c r="B20" t="s">
        <v>3</v>
      </c>
      <c r="C20" t="s">
        <v>7</v>
      </c>
      <c r="D20">
        <v>113.54812871502432</v>
      </c>
      <c r="G20">
        <v>34</v>
      </c>
      <c r="H20" t="s">
        <v>3</v>
      </c>
      <c r="I20" t="s">
        <v>6</v>
      </c>
      <c r="J20">
        <v>225.27351007609735</v>
      </c>
      <c r="M20">
        <v>34</v>
      </c>
      <c r="N20" t="s">
        <v>488</v>
      </c>
      <c r="O20" t="s">
        <v>7</v>
      </c>
      <c r="P20">
        <v>101.73968585979277</v>
      </c>
      <c r="S20">
        <v>34</v>
      </c>
      <c r="T20" t="s">
        <v>488</v>
      </c>
      <c r="U20" t="s">
        <v>6</v>
      </c>
      <c r="V20">
        <v>185.08354022082776</v>
      </c>
    </row>
    <row r="21" spans="1:22" x14ac:dyDescent="0.3">
      <c r="A21">
        <v>35</v>
      </c>
      <c r="B21" t="s">
        <v>3</v>
      </c>
      <c r="C21" t="s">
        <v>7</v>
      </c>
      <c r="D21">
        <v>118.66696776486694</v>
      </c>
      <c r="G21">
        <v>35</v>
      </c>
      <c r="H21" t="s">
        <v>3</v>
      </c>
      <c r="I21" t="s">
        <v>6</v>
      </c>
      <c r="J21">
        <v>236.41979160208413</v>
      </c>
      <c r="M21">
        <v>35</v>
      </c>
      <c r="N21" t="s">
        <v>488</v>
      </c>
      <c r="O21" t="s">
        <v>7</v>
      </c>
      <c r="P21">
        <v>106.37942043914147</v>
      </c>
      <c r="S21">
        <v>35</v>
      </c>
      <c r="T21" t="s">
        <v>488</v>
      </c>
      <c r="U21" t="s">
        <v>6</v>
      </c>
      <c r="V21">
        <v>196.78106952359585</v>
      </c>
    </row>
    <row r="22" spans="1:22" x14ac:dyDescent="0.3">
      <c r="A22">
        <v>36</v>
      </c>
      <c r="B22" t="s">
        <v>3</v>
      </c>
      <c r="C22" t="s">
        <v>7</v>
      </c>
      <c r="D22">
        <v>124.81197180033109</v>
      </c>
      <c r="G22">
        <v>36</v>
      </c>
      <c r="H22" t="s">
        <v>3</v>
      </c>
      <c r="I22" t="s">
        <v>6</v>
      </c>
      <c r="J22">
        <v>249.41246875176387</v>
      </c>
      <c r="M22">
        <v>36</v>
      </c>
      <c r="N22" t="s">
        <v>488</v>
      </c>
      <c r="O22" t="s">
        <v>7</v>
      </c>
      <c r="P22">
        <v>111.05506919808718</v>
      </c>
      <c r="S22">
        <v>36</v>
      </c>
      <c r="T22" t="s">
        <v>488</v>
      </c>
      <c r="U22" t="s">
        <v>6</v>
      </c>
      <c r="V22">
        <v>208.90622153136135</v>
      </c>
    </row>
    <row r="23" spans="1:22" x14ac:dyDescent="0.3">
      <c r="A23">
        <v>37</v>
      </c>
      <c r="B23" t="s">
        <v>3</v>
      </c>
      <c r="C23" t="s">
        <v>7</v>
      </c>
      <c r="D23">
        <v>131.04073052327638</v>
      </c>
      <c r="G23">
        <v>37</v>
      </c>
      <c r="H23" t="s">
        <v>3</v>
      </c>
      <c r="I23" t="s">
        <v>6</v>
      </c>
      <c r="J23">
        <v>264.73732833952022</v>
      </c>
      <c r="M23">
        <v>37</v>
      </c>
      <c r="N23" t="s">
        <v>488</v>
      </c>
      <c r="O23" t="s">
        <v>7</v>
      </c>
      <c r="P23">
        <v>116.32337590156675</v>
      </c>
      <c r="S23">
        <v>37</v>
      </c>
      <c r="T23" t="s">
        <v>488</v>
      </c>
      <c r="U23" t="s">
        <v>6</v>
      </c>
      <c r="V23">
        <v>224.45543343669488</v>
      </c>
    </row>
    <row r="24" spans="1:22" x14ac:dyDescent="0.3">
      <c r="A24">
        <v>38</v>
      </c>
      <c r="B24" t="s">
        <v>3</v>
      </c>
      <c r="C24" t="s">
        <v>7</v>
      </c>
      <c r="D24">
        <v>138.40856497239142</v>
      </c>
      <c r="G24">
        <v>38</v>
      </c>
      <c r="H24" t="s">
        <v>3</v>
      </c>
      <c r="I24" t="s">
        <v>6</v>
      </c>
      <c r="J24">
        <v>282.55217322083809</v>
      </c>
      <c r="M24">
        <v>38</v>
      </c>
      <c r="N24" t="s">
        <v>488</v>
      </c>
      <c r="O24" t="s">
        <v>7</v>
      </c>
      <c r="P24">
        <v>121.28464715590727</v>
      </c>
      <c r="S24">
        <v>38</v>
      </c>
      <c r="T24" t="s">
        <v>488</v>
      </c>
      <c r="U24" t="s">
        <v>6</v>
      </c>
      <c r="V24">
        <v>241.50276881704045</v>
      </c>
    </row>
    <row r="25" spans="1:22" x14ac:dyDescent="0.3">
      <c r="A25">
        <v>39</v>
      </c>
      <c r="B25" t="s">
        <v>3</v>
      </c>
      <c r="C25" t="s">
        <v>7</v>
      </c>
      <c r="D25">
        <v>147.47819581803472</v>
      </c>
      <c r="G25">
        <v>39</v>
      </c>
      <c r="H25" t="s">
        <v>3</v>
      </c>
      <c r="I25" t="s">
        <v>6</v>
      </c>
      <c r="J25">
        <v>303.5263187253961</v>
      </c>
      <c r="M25">
        <v>39</v>
      </c>
      <c r="N25" t="s">
        <v>488</v>
      </c>
      <c r="O25" t="s">
        <v>7</v>
      </c>
      <c r="P25">
        <v>127.51379701253681</v>
      </c>
      <c r="S25">
        <v>39</v>
      </c>
      <c r="T25" t="s">
        <v>488</v>
      </c>
      <c r="U25" t="s">
        <v>6</v>
      </c>
      <c r="V25">
        <v>260.19624541315187</v>
      </c>
    </row>
    <row r="26" spans="1:22" x14ac:dyDescent="0.3">
      <c r="A26">
        <v>40</v>
      </c>
      <c r="B26" t="s">
        <v>3</v>
      </c>
      <c r="C26" t="s">
        <v>7</v>
      </c>
      <c r="D26">
        <v>157.14195579270111</v>
      </c>
      <c r="G26">
        <v>40</v>
      </c>
      <c r="H26" t="s">
        <v>3</v>
      </c>
      <c r="I26" t="s">
        <v>6</v>
      </c>
      <c r="J26">
        <v>327.89395065214273</v>
      </c>
      <c r="M26">
        <v>40</v>
      </c>
      <c r="N26" t="s">
        <v>488</v>
      </c>
      <c r="O26" t="s">
        <v>7</v>
      </c>
      <c r="P26">
        <v>133.66130890410457</v>
      </c>
      <c r="S26">
        <v>40</v>
      </c>
      <c r="T26" t="s">
        <v>488</v>
      </c>
      <c r="U26" t="s">
        <v>6</v>
      </c>
      <c r="V26">
        <v>280.07409843023595</v>
      </c>
    </row>
    <row r="27" spans="1:22" x14ac:dyDescent="0.3">
      <c r="A27">
        <v>41</v>
      </c>
      <c r="B27" t="s">
        <v>3</v>
      </c>
      <c r="C27" t="s">
        <v>7</v>
      </c>
      <c r="D27">
        <v>167.10777343661104</v>
      </c>
      <c r="G27">
        <v>41</v>
      </c>
      <c r="H27" t="s">
        <v>3</v>
      </c>
      <c r="I27" t="s">
        <v>6</v>
      </c>
      <c r="J27">
        <v>356.26297632246997</v>
      </c>
      <c r="M27">
        <v>41</v>
      </c>
      <c r="N27" t="s">
        <v>488</v>
      </c>
      <c r="O27" t="s">
        <v>7</v>
      </c>
      <c r="P27">
        <v>140.40115473558592</v>
      </c>
      <c r="S27">
        <v>41</v>
      </c>
      <c r="T27" t="s">
        <v>488</v>
      </c>
      <c r="U27" t="s">
        <v>6</v>
      </c>
      <c r="V27">
        <v>301.71671532096002</v>
      </c>
    </row>
    <row r="28" spans="1:22" x14ac:dyDescent="0.3">
      <c r="A28">
        <v>42</v>
      </c>
      <c r="B28" t="s">
        <v>3</v>
      </c>
      <c r="C28" t="s">
        <v>7</v>
      </c>
      <c r="D28">
        <v>177.00343034109287</v>
      </c>
      <c r="G28">
        <v>42</v>
      </c>
      <c r="H28" t="s">
        <v>3</v>
      </c>
      <c r="I28" t="s">
        <v>6</v>
      </c>
      <c r="J28">
        <v>387.89821102648176</v>
      </c>
      <c r="M28">
        <v>42</v>
      </c>
      <c r="N28" t="s">
        <v>488</v>
      </c>
      <c r="O28" t="s">
        <v>7</v>
      </c>
      <c r="P28">
        <v>148.05756840612355</v>
      </c>
      <c r="S28">
        <v>42</v>
      </c>
      <c r="T28" t="s">
        <v>488</v>
      </c>
      <c r="U28" t="s">
        <v>6</v>
      </c>
      <c r="V28">
        <v>325.45619636332566</v>
      </c>
    </row>
    <row r="29" spans="1:22" x14ac:dyDescent="0.3">
      <c r="A29">
        <v>43</v>
      </c>
      <c r="B29" t="s">
        <v>3</v>
      </c>
      <c r="C29" t="s">
        <v>7</v>
      </c>
      <c r="D29">
        <v>187.89384537033465</v>
      </c>
      <c r="G29">
        <v>43</v>
      </c>
      <c r="H29" t="s">
        <v>3</v>
      </c>
      <c r="I29" t="s">
        <v>6</v>
      </c>
      <c r="J29">
        <v>423.67875339275895</v>
      </c>
      <c r="M29">
        <v>43</v>
      </c>
      <c r="N29" t="s">
        <v>488</v>
      </c>
      <c r="O29" t="s">
        <v>7</v>
      </c>
      <c r="P29">
        <v>156.7893364099811</v>
      </c>
      <c r="S29">
        <v>43</v>
      </c>
      <c r="T29" t="s">
        <v>488</v>
      </c>
      <c r="U29" t="s">
        <v>6</v>
      </c>
      <c r="V29">
        <v>352.65373211175597</v>
      </c>
    </row>
    <row r="30" spans="1:22" x14ac:dyDescent="0.3">
      <c r="A30">
        <v>44</v>
      </c>
      <c r="B30" t="s">
        <v>3</v>
      </c>
      <c r="C30" t="s">
        <v>7</v>
      </c>
      <c r="D30">
        <v>199.52896401205433</v>
      </c>
      <c r="G30">
        <v>44</v>
      </c>
      <c r="H30" t="s">
        <v>3</v>
      </c>
      <c r="I30" t="s">
        <v>6</v>
      </c>
      <c r="J30">
        <v>463.57170077473569</v>
      </c>
      <c r="M30">
        <v>44</v>
      </c>
      <c r="N30" t="s">
        <v>488</v>
      </c>
      <c r="O30" t="s">
        <v>7</v>
      </c>
      <c r="P30">
        <v>165.52562140357261</v>
      </c>
      <c r="S30">
        <v>44</v>
      </c>
      <c r="T30" t="s">
        <v>488</v>
      </c>
      <c r="U30" t="s">
        <v>6</v>
      </c>
      <c r="V30">
        <v>383.79363220241555</v>
      </c>
    </row>
    <row r="31" spans="1:22" x14ac:dyDescent="0.3">
      <c r="A31">
        <v>45</v>
      </c>
      <c r="B31" t="s">
        <v>3</v>
      </c>
      <c r="C31" t="s">
        <v>7</v>
      </c>
      <c r="D31">
        <v>213.66497913765616</v>
      </c>
      <c r="G31">
        <v>45</v>
      </c>
      <c r="H31" t="s">
        <v>3</v>
      </c>
      <c r="I31" t="s">
        <v>6</v>
      </c>
      <c r="J31">
        <v>508.30969025300834</v>
      </c>
      <c r="M31">
        <v>45</v>
      </c>
      <c r="N31" t="s">
        <v>488</v>
      </c>
      <c r="O31" t="s">
        <v>7</v>
      </c>
      <c r="P31">
        <v>175.39058472531156</v>
      </c>
      <c r="S31">
        <v>45</v>
      </c>
      <c r="T31" t="s">
        <v>488</v>
      </c>
      <c r="U31" t="s">
        <v>6</v>
      </c>
      <c r="V31">
        <v>418.28694340030614</v>
      </c>
    </row>
    <row r="32" spans="1:22" x14ac:dyDescent="0.3">
      <c r="A32">
        <v>46</v>
      </c>
      <c r="B32" t="s">
        <v>3</v>
      </c>
      <c r="C32" t="s">
        <v>7</v>
      </c>
      <c r="D32">
        <v>229.57701919641352</v>
      </c>
      <c r="G32">
        <v>46</v>
      </c>
      <c r="H32" t="s">
        <v>3</v>
      </c>
      <c r="I32" t="s">
        <v>6</v>
      </c>
      <c r="J32">
        <v>558.919289621742</v>
      </c>
      <c r="M32">
        <v>46</v>
      </c>
      <c r="N32" t="s">
        <v>488</v>
      </c>
      <c r="O32" t="s">
        <v>7</v>
      </c>
      <c r="P32">
        <v>186.68854154389757</v>
      </c>
      <c r="S32">
        <v>46</v>
      </c>
      <c r="T32" t="s">
        <v>488</v>
      </c>
      <c r="U32" t="s">
        <v>6</v>
      </c>
      <c r="V32">
        <v>456.7582478403491</v>
      </c>
    </row>
    <row r="33" spans="1:22" x14ac:dyDescent="0.3">
      <c r="A33">
        <v>47</v>
      </c>
      <c r="B33" t="s">
        <v>3</v>
      </c>
      <c r="C33" t="s">
        <v>7</v>
      </c>
      <c r="D33">
        <v>248.06108695368769</v>
      </c>
      <c r="G33">
        <v>47</v>
      </c>
      <c r="H33" t="s">
        <v>3</v>
      </c>
      <c r="I33" t="s">
        <v>6</v>
      </c>
      <c r="J33">
        <v>615.63935465337352</v>
      </c>
      <c r="M33">
        <v>47</v>
      </c>
      <c r="N33" t="s">
        <v>488</v>
      </c>
      <c r="O33" t="s">
        <v>7</v>
      </c>
      <c r="P33">
        <v>199.62245755640905</v>
      </c>
      <c r="S33">
        <v>47</v>
      </c>
      <c r="T33" t="s">
        <v>488</v>
      </c>
      <c r="U33" t="s">
        <v>6</v>
      </c>
      <c r="V33">
        <v>498.71131159410498</v>
      </c>
    </row>
    <row r="34" spans="1:22" x14ac:dyDescent="0.3">
      <c r="A34">
        <v>48</v>
      </c>
      <c r="B34" t="s">
        <v>3</v>
      </c>
      <c r="C34" t="s">
        <v>7</v>
      </c>
      <c r="D34">
        <v>268.70623905362021</v>
      </c>
      <c r="G34">
        <v>48</v>
      </c>
      <c r="H34" t="s">
        <v>3</v>
      </c>
      <c r="I34" t="s">
        <v>6</v>
      </c>
      <c r="J34">
        <v>682.75802666752111</v>
      </c>
      <c r="M34">
        <v>48</v>
      </c>
      <c r="N34" t="s">
        <v>488</v>
      </c>
      <c r="O34" t="s">
        <v>7</v>
      </c>
      <c r="P34">
        <v>215.46105261396167</v>
      </c>
      <c r="S34">
        <v>48</v>
      </c>
      <c r="T34" t="s">
        <v>488</v>
      </c>
      <c r="U34" t="s">
        <v>6</v>
      </c>
      <c r="V34">
        <v>545.16247109869653</v>
      </c>
    </row>
    <row r="35" spans="1:22" x14ac:dyDescent="0.3">
      <c r="A35">
        <v>49</v>
      </c>
      <c r="B35" t="s">
        <v>3</v>
      </c>
      <c r="C35" t="s">
        <v>7</v>
      </c>
      <c r="D35">
        <v>291.0542188989686</v>
      </c>
      <c r="G35">
        <v>49</v>
      </c>
      <c r="H35" t="s">
        <v>3</v>
      </c>
      <c r="I35" t="s">
        <v>6</v>
      </c>
      <c r="J35">
        <v>763.08712288074355</v>
      </c>
      <c r="M35">
        <v>49</v>
      </c>
      <c r="N35" t="s">
        <v>488</v>
      </c>
      <c r="O35" t="s">
        <v>7</v>
      </c>
      <c r="P35">
        <v>234.0003700452942</v>
      </c>
      <c r="S35">
        <v>49</v>
      </c>
      <c r="T35" t="s">
        <v>488</v>
      </c>
      <c r="U35" t="s">
        <v>6</v>
      </c>
      <c r="V35">
        <v>597.48399980473152</v>
      </c>
    </row>
    <row r="36" spans="1:22" x14ac:dyDescent="0.3">
      <c r="A36">
        <v>50</v>
      </c>
      <c r="B36" t="s">
        <v>3</v>
      </c>
      <c r="C36" t="s">
        <v>7</v>
      </c>
      <c r="D36">
        <v>314.98536897071239</v>
      </c>
      <c r="G36">
        <v>50</v>
      </c>
      <c r="H36" t="s">
        <v>3</v>
      </c>
      <c r="I36" t="s">
        <v>6</v>
      </c>
      <c r="J36">
        <v>857.93932355545394</v>
      </c>
      <c r="M36">
        <v>50</v>
      </c>
      <c r="N36" t="s">
        <v>488</v>
      </c>
      <c r="O36" t="s">
        <v>7</v>
      </c>
      <c r="P36">
        <v>255.11220681734051</v>
      </c>
      <c r="S36">
        <v>50</v>
      </c>
      <c r="T36" t="s">
        <v>488</v>
      </c>
      <c r="U36" t="s">
        <v>6</v>
      </c>
      <c r="V36">
        <v>656.61966094694753</v>
      </c>
    </row>
    <row r="37" spans="1:22" x14ac:dyDescent="0.3">
      <c r="A37">
        <v>51</v>
      </c>
      <c r="B37" t="s">
        <v>3</v>
      </c>
      <c r="C37" t="s">
        <v>7</v>
      </c>
      <c r="D37">
        <v>340.89003623590241</v>
      </c>
      <c r="G37">
        <v>51</v>
      </c>
      <c r="H37" t="s">
        <v>3</v>
      </c>
      <c r="I37" t="s">
        <v>6</v>
      </c>
      <c r="J37">
        <v>968.06587881388509</v>
      </c>
      <c r="M37">
        <v>51</v>
      </c>
      <c r="N37" t="s">
        <v>488</v>
      </c>
      <c r="O37" t="s">
        <v>7</v>
      </c>
      <c r="P37">
        <v>276.61941874124119</v>
      </c>
      <c r="S37">
        <v>51</v>
      </c>
      <c r="T37" t="s">
        <v>488</v>
      </c>
      <c r="U37" t="s">
        <v>6</v>
      </c>
      <c r="V37">
        <v>723.03026434857134</v>
      </c>
    </row>
    <row r="38" spans="1:22" x14ac:dyDescent="0.3">
      <c r="A38">
        <v>52</v>
      </c>
      <c r="B38" t="s">
        <v>3</v>
      </c>
      <c r="C38" t="s">
        <v>7</v>
      </c>
      <c r="D38">
        <v>369.07181438761143</v>
      </c>
      <c r="G38">
        <v>52</v>
      </c>
      <c r="H38" t="s">
        <v>3</v>
      </c>
      <c r="I38" t="s">
        <v>6</v>
      </c>
      <c r="J38">
        <v>1092.0292366320878</v>
      </c>
      <c r="M38">
        <v>52</v>
      </c>
      <c r="N38" t="s">
        <v>488</v>
      </c>
      <c r="O38" t="s">
        <v>7</v>
      </c>
      <c r="P38">
        <v>299.28585595633905</v>
      </c>
      <c r="S38">
        <v>52</v>
      </c>
      <c r="T38" t="s">
        <v>488</v>
      </c>
      <c r="U38" t="s">
        <v>6</v>
      </c>
      <c r="V38">
        <v>798.12560113609413</v>
      </c>
    </row>
    <row r="39" spans="1:22" x14ac:dyDescent="0.3">
      <c r="A39">
        <v>53</v>
      </c>
      <c r="B39" t="s">
        <v>3</v>
      </c>
      <c r="C39" t="s">
        <v>7</v>
      </c>
      <c r="D39">
        <v>401.54569688805458</v>
      </c>
      <c r="G39">
        <v>53</v>
      </c>
      <c r="H39" t="s">
        <v>3</v>
      </c>
      <c r="I39" t="s">
        <v>6</v>
      </c>
      <c r="J39">
        <v>1229.9071458619132</v>
      </c>
      <c r="M39">
        <v>53</v>
      </c>
      <c r="N39" t="s">
        <v>488</v>
      </c>
      <c r="O39" t="s">
        <v>7</v>
      </c>
      <c r="P39">
        <v>322.39389418738097</v>
      </c>
      <c r="S39">
        <v>53</v>
      </c>
      <c r="T39" t="s">
        <v>488</v>
      </c>
      <c r="U39" t="s">
        <v>6</v>
      </c>
      <c r="V39">
        <v>881.65635434229432</v>
      </c>
    </row>
    <row r="40" spans="1:22" x14ac:dyDescent="0.3">
      <c r="A40">
        <v>54</v>
      </c>
      <c r="B40" t="s">
        <v>3</v>
      </c>
      <c r="C40" t="s">
        <v>7</v>
      </c>
      <c r="D40">
        <v>435.5108339674195</v>
      </c>
      <c r="G40">
        <v>54</v>
      </c>
      <c r="H40" t="s">
        <v>3</v>
      </c>
      <c r="I40" t="s">
        <v>6</v>
      </c>
      <c r="J40">
        <v>1379.4143918568386</v>
      </c>
      <c r="M40">
        <v>54</v>
      </c>
      <c r="N40" t="s">
        <v>488</v>
      </c>
      <c r="O40" t="s">
        <v>7</v>
      </c>
      <c r="P40">
        <v>347.20587159521813</v>
      </c>
      <c r="S40">
        <v>54</v>
      </c>
      <c r="T40" t="s">
        <v>488</v>
      </c>
      <c r="U40" t="s">
        <v>6</v>
      </c>
      <c r="V40">
        <v>975.45473170749631</v>
      </c>
    </row>
    <row r="41" spans="1:22" x14ac:dyDescent="0.3">
      <c r="A41">
        <v>55</v>
      </c>
      <c r="B41" t="s">
        <v>3</v>
      </c>
      <c r="C41" t="s">
        <v>7</v>
      </c>
      <c r="D41">
        <v>474.31512812719177</v>
      </c>
      <c r="G41">
        <v>55</v>
      </c>
      <c r="H41" t="s">
        <v>3</v>
      </c>
      <c r="I41" t="s">
        <v>6</v>
      </c>
      <c r="J41">
        <v>1541.5339867263608</v>
      </c>
      <c r="M41">
        <v>55</v>
      </c>
      <c r="N41" t="s">
        <v>488</v>
      </c>
      <c r="O41" t="s">
        <v>7</v>
      </c>
      <c r="P41">
        <v>374.25007153192178</v>
      </c>
      <c r="S41">
        <v>55</v>
      </c>
      <c r="T41" t="s">
        <v>488</v>
      </c>
      <c r="U41" t="s">
        <v>6</v>
      </c>
      <c r="V41">
        <v>1080.5224088390116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B7BE7-4215-40C1-A67A-E8300B5AA323}">
  <sheetPr codeName="Sheet2"/>
  <dimension ref="A2:G32"/>
  <sheetViews>
    <sheetView workbookViewId="0">
      <selection activeCell="E35" sqref="E35"/>
    </sheetView>
  </sheetViews>
  <sheetFormatPr defaultRowHeight="14.4" x14ac:dyDescent="0.3"/>
  <cols>
    <col min="1" max="1" width="30.21875" bestFit="1" customWidth="1"/>
    <col min="2" max="2" width="12.109375" bestFit="1" customWidth="1"/>
    <col min="3" max="3" width="13.44140625" bestFit="1" customWidth="1"/>
    <col min="5" max="5" width="29.6640625" customWidth="1"/>
    <col min="6" max="6" width="11.88671875" customWidth="1"/>
    <col min="7" max="7" width="14.109375" customWidth="1"/>
  </cols>
  <sheetData>
    <row r="2" spans="1:7" x14ac:dyDescent="0.3">
      <c r="A2" s="84" t="s">
        <v>527</v>
      </c>
      <c r="E2" s="84" t="s">
        <v>529</v>
      </c>
    </row>
    <row r="3" spans="1:7" ht="43.2" x14ac:dyDescent="0.3">
      <c r="A3" s="50" t="s">
        <v>478</v>
      </c>
      <c r="B3" s="48" t="s">
        <v>523</v>
      </c>
      <c r="C3" s="87" t="s">
        <v>528</v>
      </c>
      <c r="E3" s="50" t="s">
        <v>478</v>
      </c>
      <c r="F3" s="48" t="s">
        <v>523</v>
      </c>
      <c r="G3" s="87" t="s">
        <v>528</v>
      </c>
    </row>
    <row r="4" spans="1:7" x14ac:dyDescent="0.3">
      <c r="A4" s="85">
        <v>0.6</v>
      </c>
      <c r="B4" s="91">
        <v>113.17054302742702</v>
      </c>
      <c r="C4" s="88">
        <f t="shared" ref="C4:C5" si="0">(B4-$B$7)/$B$7</f>
        <v>-0.23364795720110307</v>
      </c>
      <c r="E4" s="85">
        <v>0.6</v>
      </c>
      <c r="F4" s="91">
        <v>103.82612853573124</v>
      </c>
      <c r="G4" s="88">
        <f>(F4-$F$7)/$F$7</f>
        <v>-0.22321478528822883</v>
      </c>
    </row>
    <row r="5" spans="1:7" x14ac:dyDescent="0.3">
      <c r="A5" s="85">
        <v>0.7</v>
      </c>
      <c r="B5" s="92">
        <v>124.67181342578738</v>
      </c>
      <c r="C5" s="89">
        <f t="shared" si="0"/>
        <v>-0.15576530480073544</v>
      </c>
      <c r="E5" s="85">
        <v>0.7</v>
      </c>
      <c r="F5" s="92">
        <v>113.77118865852236</v>
      </c>
      <c r="G5" s="89">
        <f t="shared" ref="G5:G8" si="1">(F5-$F$7)/$F$7</f>
        <v>-0.14880985685881915</v>
      </c>
    </row>
    <row r="6" spans="1:7" x14ac:dyDescent="0.3">
      <c r="A6" s="85">
        <v>0.8</v>
      </c>
      <c r="B6" s="92">
        <v>136.17308382414774</v>
      </c>
      <c r="C6" s="89">
        <f>(B6-$B$7)/$B$7</f>
        <v>-7.7882652400367819E-2</v>
      </c>
      <c r="E6" s="85">
        <v>0.8</v>
      </c>
      <c r="F6" s="92">
        <v>123.71624878131342</v>
      </c>
      <c r="G6" s="89">
        <f t="shared" si="1"/>
        <v>-7.4404928429409892E-2</v>
      </c>
    </row>
    <row r="7" spans="1:7" x14ac:dyDescent="0.3">
      <c r="A7" s="85">
        <v>0.9</v>
      </c>
      <c r="B7" s="92">
        <v>147.67435422250813</v>
      </c>
      <c r="C7" s="89">
        <f t="shared" ref="C7:C8" si="2">(B7-$B$7)/$B$7</f>
        <v>0</v>
      </c>
      <c r="E7" s="85">
        <v>0.9</v>
      </c>
      <c r="F7" s="92">
        <v>133.66130890410457</v>
      </c>
      <c r="G7" s="89">
        <f t="shared" si="1"/>
        <v>0</v>
      </c>
    </row>
    <row r="8" spans="1:7" x14ac:dyDescent="0.3">
      <c r="A8" s="86">
        <v>1</v>
      </c>
      <c r="B8" s="93">
        <v>159.17562462086849</v>
      </c>
      <c r="C8" s="90">
        <f t="shared" si="2"/>
        <v>7.7882652400367625E-2</v>
      </c>
      <c r="E8" s="86">
        <v>1</v>
      </c>
      <c r="F8" s="93">
        <v>143.60636902689566</v>
      </c>
      <c r="G8" s="90">
        <f t="shared" si="1"/>
        <v>7.4404928429409461E-2</v>
      </c>
    </row>
    <row r="10" spans="1:7" x14ac:dyDescent="0.3">
      <c r="A10" s="84" t="s">
        <v>531</v>
      </c>
      <c r="E10" s="84" t="s">
        <v>530</v>
      </c>
    </row>
    <row r="11" spans="1:7" ht="28.8" x14ac:dyDescent="0.3">
      <c r="A11" s="50" t="s">
        <v>478</v>
      </c>
      <c r="B11" s="48" t="s">
        <v>523</v>
      </c>
      <c r="C11" s="87" t="s">
        <v>532</v>
      </c>
      <c r="E11" s="50" t="s">
        <v>478</v>
      </c>
      <c r="F11" s="48" t="s">
        <v>523</v>
      </c>
      <c r="G11" s="87" t="s">
        <v>532</v>
      </c>
    </row>
    <row r="12" spans="1:7" x14ac:dyDescent="0.3">
      <c r="A12" s="85">
        <v>0.01</v>
      </c>
      <c r="B12" s="91">
        <v>150.64618905791849</v>
      </c>
      <c r="C12" s="88">
        <f>(B12-$B$14)/$B$14</f>
        <v>2.0124244666968744E-2</v>
      </c>
      <c r="E12" s="85">
        <v>0.01</v>
      </c>
      <c r="F12" s="91">
        <v>137.48022740944572</v>
      </c>
      <c r="G12" s="88">
        <f t="shared" ref="G12:G13" si="3">(F12-$F$14)/$F$14</f>
        <v>2.8571607869567039E-2</v>
      </c>
    </row>
    <row r="13" spans="1:7" x14ac:dyDescent="0.3">
      <c r="A13" s="85">
        <v>0.02</v>
      </c>
      <c r="B13" s="92">
        <v>149.13101007044602</v>
      </c>
      <c r="C13" s="89">
        <f t="shared" ref="C13:C16" si="4">(B13-$B$14)/$B$14</f>
        <v>9.8639730344991482E-3</v>
      </c>
      <c r="E13" s="85">
        <v>0.02</v>
      </c>
      <c r="F13" s="92">
        <v>135.53545480788989</v>
      </c>
      <c r="G13" s="89">
        <f t="shared" si="3"/>
        <v>1.4021603702309444E-2</v>
      </c>
    </row>
    <row r="14" spans="1:7" x14ac:dyDescent="0.3">
      <c r="A14" s="85">
        <v>0.03</v>
      </c>
      <c r="B14" s="92">
        <v>147.67435422250813</v>
      </c>
      <c r="C14" s="89">
        <f t="shared" si="4"/>
        <v>0</v>
      </c>
      <c r="E14" s="85">
        <v>0.03</v>
      </c>
      <c r="F14" s="92">
        <v>133.66130890410457</v>
      </c>
      <c r="G14" s="89">
        <f>(F14-$F$14)/$F$14</f>
        <v>0</v>
      </c>
    </row>
    <row r="15" spans="1:7" x14ac:dyDescent="0.3">
      <c r="A15" s="85">
        <v>0.04</v>
      </c>
      <c r="B15" s="92">
        <v>146.27435220285793</v>
      </c>
      <c r="C15" s="89">
        <f t="shared" si="4"/>
        <v>-9.4803327701758634E-3</v>
      </c>
      <c r="E15" s="85">
        <v>0.04</v>
      </c>
      <c r="F15" s="92">
        <v>131.85601152300998</v>
      </c>
      <c r="G15" s="89">
        <f t="shared" ref="G15:G16" si="5">(F15-$F$14)/$F$14</f>
        <v>-1.3506506826068883E-2</v>
      </c>
    </row>
    <row r="16" spans="1:7" x14ac:dyDescent="0.3">
      <c r="A16" s="86">
        <v>0.05</v>
      </c>
      <c r="B16" s="93">
        <v>144.92914850955759</v>
      </c>
      <c r="C16" s="90">
        <f t="shared" si="4"/>
        <v>-1.8589590097778261E-2</v>
      </c>
      <c r="E16" s="86">
        <v>0.05</v>
      </c>
      <c r="F16" s="93">
        <v>130.11776715556019</v>
      </c>
      <c r="G16" s="90">
        <f t="shared" si="5"/>
        <v>-2.6511350050347795E-2</v>
      </c>
    </row>
    <row r="18" spans="1:7" x14ac:dyDescent="0.3">
      <c r="A18" s="84" t="s">
        <v>533</v>
      </c>
      <c r="E18" s="84" t="s">
        <v>534</v>
      </c>
    </row>
    <row r="19" spans="1:7" ht="28.8" x14ac:dyDescent="0.3">
      <c r="A19" s="50" t="s">
        <v>478</v>
      </c>
      <c r="B19" s="48" t="s">
        <v>523</v>
      </c>
      <c r="C19" s="87" t="s">
        <v>532</v>
      </c>
      <c r="E19" s="50" t="s">
        <v>478</v>
      </c>
      <c r="F19" s="48" t="s">
        <v>523</v>
      </c>
      <c r="G19" s="87" t="s">
        <v>532</v>
      </c>
    </row>
    <row r="20" spans="1:7" x14ac:dyDescent="0.3">
      <c r="A20" s="85">
        <v>0.01</v>
      </c>
      <c r="B20" s="91">
        <v>147.97775572135515</v>
      </c>
      <c r="C20" s="94">
        <f>(B20-$B$21)/$B$21</f>
        <v>2.0545307304332171E-3</v>
      </c>
      <c r="E20" s="85">
        <v>0.01</v>
      </c>
      <c r="F20" s="91">
        <v>135.11216508684757</v>
      </c>
      <c r="G20" s="94">
        <f>(F20-$F$21)/$F$21</f>
        <v>1.0854720746329918E-2</v>
      </c>
    </row>
    <row r="21" spans="1:7" x14ac:dyDescent="0.3">
      <c r="A21" s="85">
        <v>0.03</v>
      </c>
      <c r="B21" s="92">
        <v>147.67435422250813</v>
      </c>
      <c r="C21" s="95">
        <f t="shared" ref="C21:C24" si="6">(B21-$B$21)/$B$21</f>
        <v>0</v>
      </c>
      <c r="E21" s="85">
        <v>0.03</v>
      </c>
      <c r="F21" s="92">
        <v>133.66130890410457</v>
      </c>
      <c r="G21" s="95">
        <f t="shared" ref="G21:G24" si="7">(F21-$F$21)/$F$21</f>
        <v>0</v>
      </c>
    </row>
    <row r="22" spans="1:7" x14ac:dyDescent="0.3">
      <c r="A22" s="85">
        <v>0.05</v>
      </c>
      <c r="B22" s="92">
        <v>147.44410058657013</v>
      </c>
      <c r="C22" s="95">
        <f t="shared" si="6"/>
        <v>-1.5591985294282323E-3</v>
      </c>
      <c r="E22" s="85">
        <v>0.05</v>
      </c>
      <c r="F22" s="92">
        <v>132.25470427253595</v>
      </c>
      <c r="G22" s="95">
        <f t="shared" si="7"/>
        <v>-1.0523648489614868E-2</v>
      </c>
    </row>
    <row r="23" spans="1:7" x14ac:dyDescent="0.3">
      <c r="A23" s="85">
        <v>0.08</v>
      </c>
      <c r="B23" s="92">
        <v>147.24900496786444</v>
      </c>
      <c r="C23" s="95">
        <f t="shared" si="6"/>
        <v>-2.8803190430939504E-3</v>
      </c>
      <c r="E23" s="85">
        <v>0.08</v>
      </c>
      <c r="F23" s="92">
        <v>130.24921546557235</v>
      </c>
      <c r="G23" s="95">
        <f t="shared" si="7"/>
        <v>-2.5527906815428793E-2</v>
      </c>
    </row>
    <row r="24" spans="1:7" x14ac:dyDescent="0.3">
      <c r="A24" s="86">
        <v>0.1</v>
      </c>
      <c r="B24" s="93">
        <v>147.22698763754596</v>
      </c>
      <c r="C24" s="96">
        <f t="shared" si="6"/>
        <v>-3.0294128409601791E-3</v>
      </c>
      <c r="E24" s="86">
        <v>0.1</v>
      </c>
      <c r="F24" s="93">
        <v>128.99594545410659</v>
      </c>
      <c r="G24" s="96">
        <f t="shared" si="7"/>
        <v>-3.4904367526021704E-2</v>
      </c>
    </row>
    <row r="26" spans="1:7" x14ac:dyDescent="0.3">
      <c r="A26" s="84" t="s">
        <v>535</v>
      </c>
      <c r="E26" s="84" t="s">
        <v>536</v>
      </c>
    </row>
    <row r="27" spans="1:7" ht="28.8" x14ac:dyDescent="0.3">
      <c r="A27" s="50" t="s">
        <v>478</v>
      </c>
      <c r="B27" s="48" t="s">
        <v>523</v>
      </c>
      <c r="C27" s="87" t="s">
        <v>532</v>
      </c>
      <c r="E27" s="50" t="s">
        <v>478</v>
      </c>
      <c r="F27" s="48" t="s">
        <v>523</v>
      </c>
      <c r="G27" s="87" t="s">
        <v>532</v>
      </c>
    </row>
    <row r="28" spans="1:7" x14ac:dyDescent="0.3">
      <c r="A28" s="85">
        <v>0.03</v>
      </c>
      <c r="B28" s="91">
        <v>144.86150938017465</v>
      </c>
      <c r="C28" s="94">
        <f>(B28-$B$29)/$B$29</f>
        <v>-1.9047619047618966E-2</v>
      </c>
      <c r="E28" s="85">
        <v>0.03</v>
      </c>
      <c r="F28" s="91">
        <v>131.11537921069305</v>
      </c>
      <c r="G28" s="94">
        <f>(F28-$F$29)/$F$29</f>
        <v>-1.9047619047619101E-2</v>
      </c>
    </row>
    <row r="29" spans="1:7" x14ac:dyDescent="0.3">
      <c r="A29" s="85">
        <v>0.05</v>
      </c>
      <c r="B29" s="92">
        <v>147.67435422250813</v>
      </c>
      <c r="C29" s="95">
        <f t="shared" ref="C29:C32" si="8">(B29-$B$29)/$B$29</f>
        <v>0</v>
      </c>
      <c r="E29" s="85">
        <v>0.05</v>
      </c>
      <c r="F29" s="92">
        <v>133.66130890410457</v>
      </c>
      <c r="G29" s="95">
        <f t="shared" ref="G29:G32" si="9">(F29-$F$29)/$F$29</f>
        <v>0</v>
      </c>
    </row>
    <row r="30" spans="1:7" x14ac:dyDescent="0.3">
      <c r="A30" s="85">
        <v>0.08</v>
      </c>
      <c r="B30" s="92">
        <v>151.89362148600836</v>
      </c>
      <c r="C30" s="95">
        <f t="shared" si="8"/>
        <v>2.8571428571428543E-2</v>
      </c>
      <c r="E30" s="85">
        <v>0.08</v>
      </c>
      <c r="F30" s="92">
        <v>137.48020344422187</v>
      </c>
      <c r="G30" s="95">
        <f t="shared" si="9"/>
        <v>2.8571428571428761E-2</v>
      </c>
    </row>
    <row r="31" spans="1:7" x14ac:dyDescent="0.3">
      <c r="A31" s="85">
        <v>0.1</v>
      </c>
      <c r="B31" s="92">
        <v>154.70646632834183</v>
      </c>
      <c r="C31" s="95">
        <f t="shared" si="8"/>
        <v>4.7619047619047512E-2</v>
      </c>
      <c r="E31" s="85">
        <v>0.1</v>
      </c>
      <c r="F31" s="92">
        <v>140.02613313763334</v>
      </c>
      <c r="G31" s="95">
        <f t="shared" si="9"/>
        <v>4.7619047619047436E-2</v>
      </c>
    </row>
    <row r="32" spans="1:7" x14ac:dyDescent="0.3">
      <c r="A32" s="86">
        <v>0.15</v>
      </c>
      <c r="B32" s="93">
        <v>161.73857843417554</v>
      </c>
      <c r="C32" s="96">
        <f t="shared" si="8"/>
        <v>9.5238095238095025E-2</v>
      </c>
      <c r="E32" s="86">
        <v>0.15</v>
      </c>
      <c r="F32" s="93">
        <v>146.39095737116213</v>
      </c>
      <c r="G32" s="96">
        <f t="shared" si="9"/>
        <v>9.523809523809508E-2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F0B2B-F14B-4849-8BA8-9A683E68724A}">
  <sheetPr codeName="Sheet4"/>
  <dimension ref="A1:M525"/>
  <sheetViews>
    <sheetView workbookViewId="0">
      <selection activeCell="F26" sqref="F26"/>
    </sheetView>
  </sheetViews>
  <sheetFormatPr defaultRowHeight="14.4" x14ac:dyDescent="0.3"/>
  <cols>
    <col min="1" max="1" width="12" bestFit="1" customWidth="1"/>
    <col min="2" max="2" width="12.5546875" bestFit="1" customWidth="1"/>
    <col min="3" max="3" width="17.5546875" bestFit="1" customWidth="1"/>
    <col min="4" max="4" width="17.5546875" customWidth="1"/>
    <col min="5" max="5" width="19.6640625" customWidth="1"/>
    <col min="8" max="8" width="9.109375" customWidth="1"/>
    <col min="9" max="9" width="12.5546875" bestFit="1" customWidth="1"/>
    <col min="10" max="10" width="17.5546875" bestFit="1" customWidth="1"/>
    <col min="11" max="11" width="17.5546875" customWidth="1"/>
    <col min="12" max="12" width="19.33203125" bestFit="1" customWidth="1"/>
  </cols>
  <sheetData>
    <row r="1" spans="1:10" x14ac:dyDescent="0.3">
      <c r="A1" t="s">
        <v>516</v>
      </c>
      <c r="B1">
        <v>18</v>
      </c>
    </row>
    <row r="2" spans="1:10" x14ac:dyDescent="0.3">
      <c r="A2" t="s">
        <v>517</v>
      </c>
      <c r="B2">
        <v>55</v>
      </c>
    </row>
    <row r="4" spans="1:10" x14ac:dyDescent="0.3">
      <c r="A4" t="s">
        <v>520</v>
      </c>
    </row>
    <row r="5" spans="1:10" x14ac:dyDescent="0.3">
      <c r="A5" t="s">
        <v>519</v>
      </c>
    </row>
    <row r="7" spans="1:10" x14ac:dyDescent="0.3">
      <c r="A7" t="s">
        <v>511</v>
      </c>
      <c r="B7">
        <f>(18+55)/2</f>
        <v>36.5</v>
      </c>
      <c r="H7" t="s">
        <v>513</v>
      </c>
      <c r="J7">
        <v>30</v>
      </c>
    </row>
    <row r="24" spans="1:13" x14ac:dyDescent="0.3">
      <c r="C24" s="9" t="s">
        <v>518</v>
      </c>
      <c r="D24" s="9"/>
      <c r="J24" s="9" t="s">
        <v>518</v>
      </c>
      <c r="K24" s="9"/>
    </row>
    <row r="25" spans="1:13" x14ac:dyDescent="0.3">
      <c r="A25" t="s">
        <v>512</v>
      </c>
      <c r="B25" t="s">
        <v>514</v>
      </c>
      <c r="C25" t="s">
        <v>515</v>
      </c>
      <c r="D25" t="s">
        <v>522</v>
      </c>
      <c r="E25" t="s">
        <v>521</v>
      </c>
      <c r="F25" t="s">
        <v>523</v>
      </c>
      <c r="H25" t="s">
        <v>512</v>
      </c>
      <c r="I25" t="s">
        <v>514</v>
      </c>
      <c r="J25" t="s">
        <v>515</v>
      </c>
      <c r="K25" t="s">
        <v>522</v>
      </c>
      <c r="L25" t="s">
        <v>521</v>
      </c>
      <c r="M25" t="s">
        <v>523</v>
      </c>
    </row>
    <row r="26" spans="1:13" x14ac:dyDescent="0.3">
      <c r="A26">
        <v>1</v>
      </c>
      <c r="B26">
        <v>32</v>
      </c>
      <c r="C26">
        <f t="shared" ref="C26:C89" si="0">IF(B26&lt;num_min,num_min,IF(B26&gt;num_max,num_max,B26))</f>
        <v>32</v>
      </c>
      <c r="D26">
        <v>0.29378885395750765</v>
      </c>
      <c r="E26" t="str">
        <f>IF(D26&lt;=0.2,"Smoker","Nonsmoker")</f>
        <v>Nonsmoker</v>
      </c>
      <c r="F26">
        <f>IF(E26="Nonsmoker",VLOOKUP(PolicyholdersSimulation!C26,PremiumTable!$A$4:$D$41,4,FALSE),VLOOKUP(PolicyholdersSimulation!C26,PremiumTable!$G$4:$J$41,4,FALSE))</f>
        <v>104.12568156832383</v>
      </c>
      <c r="H26">
        <v>1</v>
      </c>
      <c r="I26">
        <v>21</v>
      </c>
      <c r="J26">
        <f t="shared" ref="J26:J89" si="1">IF(I26&lt;num_min,num_min,IF(I26&gt;num_max,num_max,I26))</f>
        <v>21</v>
      </c>
      <c r="K26">
        <v>0.30854153419930908</v>
      </c>
      <c r="L26" t="str">
        <f>IF(K26&lt;=0.2,"Smoker","Nonsmoker")</f>
        <v>Nonsmoker</v>
      </c>
      <c r="M26">
        <f>IF(L26="Nonsmoker",VLOOKUP(PolicyholdersSimulation!J26,PremiumTable!$M$4:$P$41,4,FALSE),VLOOKUP(PolicyholdersSimulation!J26,PremiumTable!$S$4:$V$41,4,FALSE))</f>
        <v>83.888160082848557</v>
      </c>
    </row>
    <row r="27" spans="1:13" x14ac:dyDescent="0.3">
      <c r="A27">
        <v>2</v>
      </c>
      <c r="B27">
        <v>30</v>
      </c>
      <c r="C27">
        <f t="shared" si="0"/>
        <v>30</v>
      </c>
      <c r="D27">
        <v>0.4635181253507179</v>
      </c>
      <c r="E27" t="str">
        <f t="shared" ref="E27:E90" si="2">IF(D27&lt;=0.2,"Smoker","Nonsmoker")</f>
        <v>Nonsmoker</v>
      </c>
      <c r="F27">
        <f>IF(E27="Nonsmoker",VLOOKUP(PolicyholdersSimulation!C27,PremiumTable!$A$4:$D$41,4,FALSE),VLOOKUP(PolicyholdersSimulation!C27,PremiumTable!$G$4:$J$41,4,FALSE))</f>
        <v>98.268933119823288</v>
      </c>
      <c r="H27">
        <v>2</v>
      </c>
      <c r="I27">
        <v>28</v>
      </c>
      <c r="J27">
        <f t="shared" si="1"/>
        <v>28</v>
      </c>
      <c r="K27">
        <v>0.16691284247127947</v>
      </c>
      <c r="L27" t="str">
        <f t="shared" ref="L27:L90" si="3">IF(K27&lt;=0.2,"Smoker","Nonsmoker")</f>
        <v>Smoker</v>
      </c>
      <c r="M27">
        <f>IF(L27="Nonsmoker",VLOOKUP(PolicyholdersSimulation!J27,PremiumTable!$M$4:$P$41,4,FALSE),VLOOKUP(PolicyholdersSimulation!J27,PremiumTable!$S$4:$V$41,4,FALSE))</f>
        <v>123.88486180420303</v>
      </c>
    </row>
    <row r="28" spans="1:13" x14ac:dyDescent="0.3">
      <c r="A28">
        <v>3</v>
      </c>
      <c r="B28">
        <v>34</v>
      </c>
      <c r="C28">
        <f t="shared" si="0"/>
        <v>34</v>
      </c>
      <c r="D28">
        <v>1.7795924948083575E-2</v>
      </c>
      <c r="E28" t="str">
        <f t="shared" si="2"/>
        <v>Smoker</v>
      </c>
      <c r="F28">
        <f>IF(E28="Nonsmoker",VLOOKUP(PolicyholdersSimulation!C28,PremiumTable!$A$4:$D$41,4,FALSE),VLOOKUP(PolicyholdersSimulation!C28,PremiumTable!$G$4:$J$41,4,FALSE))</f>
        <v>225.27351007609735</v>
      </c>
      <c r="H28">
        <v>3</v>
      </c>
      <c r="I28">
        <v>34</v>
      </c>
      <c r="J28">
        <f t="shared" si="1"/>
        <v>34</v>
      </c>
      <c r="K28">
        <v>0.22585665235187524</v>
      </c>
      <c r="L28" t="str">
        <f t="shared" si="3"/>
        <v>Nonsmoker</v>
      </c>
      <c r="M28">
        <f>IF(L28="Nonsmoker",VLOOKUP(PolicyholdersSimulation!J28,PremiumTable!$M$4:$P$41,4,FALSE),VLOOKUP(PolicyholdersSimulation!J28,PremiumTable!$S$4:$V$41,4,FALSE))</f>
        <v>101.73968585979277</v>
      </c>
    </row>
    <row r="29" spans="1:13" x14ac:dyDescent="0.3">
      <c r="A29">
        <v>4</v>
      </c>
      <c r="B29">
        <v>30</v>
      </c>
      <c r="C29">
        <f t="shared" si="0"/>
        <v>30</v>
      </c>
      <c r="D29">
        <v>0.5753099902385258</v>
      </c>
      <c r="E29" t="str">
        <f t="shared" si="2"/>
        <v>Nonsmoker</v>
      </c>
      <c r="F29">
        <f>IF(E29="Nonsmoker",VLOOKUP(PolicyholdersSimulation!C29,PremiumTable!$A$4:$D$41,4,FALSE),VLOOKUP(PolicyholdersSimulation!C29,PremiumTable!$G$4:$J$41,4,FALSE))</f>
        <v>98.268933119823288</v>
      </c>
      <c r="H29">
        <v>4</v>
      </c>
      <c r="I29">
        <v>28</v>
      </c>
      <c r="J29">
        <f t="shared" si="1"/>
        <v>28</v>
      </c>
      <c r="K29">
        <v>0.55328305050142768</v>
      </c>
      <c r="L29" t="str">
        <f t="shared" si="3"/>
        <v>Nonsmoker</v>
      </c>
      <c r="M29">
        <f>IF(L29="Nonsmoker",VLOOKUP(PolicyholdersSimulation!J29,PremiumTable!$M$4:$P$41,4,FALSE),VLOOKUP(PolicyholdersSimulation!J29,PremiumTable!$S$4:$V$41,4,FALSE))</f>
        <v>81.666348165376135</v>
      </c>
    </row>
    <row r="30" spans="1:13" x14ac:dyDescent="0.3">
      <c r="A30">
        <v>5</v>
      </c>
      <c r="B30">
        <v>20</v>
      </c>
      <c r="C30">
        <f t="shared" si="0"/>
        <v>20</v>
      </c>
      <c r="D30">
        <v>0.55119800395159213</v>
      </c>
      <c r="E30" t="str">
        <f t="shared" si="2"/>
        <v>Nonsmoker</v>
      </c>
      <c r="F30">
        <f>IF(E30="Nonsmoker",VLOOKUP(PolicyholdersSimulation!C30,PremiumTable!$A$4:$D$41,4,FALSE),VLOOKUP(PolicyholdersSimulation!C30,PremiumTable!$G$4:$J$41,4,FALSE))</f>
        <v>138.93464984623427</v>
      </c>
      <c r="H30">
        <v>5</v>
      </c>
      <c r="I30">
        <v>34</v>
      </c>
      <c r="J30">
        <f t="shared" si="1"/>
        <v>34</v>
      </c>
      <c r="K30">
        <v>0.75230365857353199</v>
      </c>
      <c r="L30" t="str">
        <f t="shared" si="3"/>
        <v>Nonsmoker</v>
      </c>
      <c r="M30">
        <f>IF(L30="Nonsmoker",VLOOKUP(PolicyholdersSimulation!J30,PremiumTable!$M$4:$P$41,4,FALSE),VLOOKUP(PolicyholdersSimulation!J30,PremiumTable!$S$4:$V$41,4,FALSE))</f>
        <v>101.73968585979277</v>
      </c>
    </row>
    <row r="31" spans="1:13" x14ac:dyDescent="0.3">
      <c r="A31">
        <v>6</v>
      </c>
      <c r="B31">
        <v>33</v>
      </c>
      <c r="C31">
        <f t="shared" si="0"/>
        <v>33</v>
      </c>
      <c r="D31">
        <v>0.77932444258520983</v>
      </c>
      <c r="E31" t="str">
        <f t="shared" si="2"/>
        <v>Nonsmoker</v>
      </c>
      <c r="F31">
        <f>IF(E31="Nonsmoker",VLOOKUP(PolicyholdersSimulation!C31,PremiumTable!$A$4:$D$41,4,FALSE),VLOOKUP(PolicyholdersSimulation!C31,PremiumTable!$G$4:$J$41,4,FALSE))</f>
        <v>108.39931664719025</v>
      </c>
      <c r="H31">
        <v>6</v>
      </c>
      <c r="I31">
        <v>27</v>
      </c>
      <c r="J31">
        <f t="shared" si="1"/>
        <v>27</v>
      </c>
      <c r="K31">
        <v>0.67599113594676952</v>
      </c>
      <c r="L31" t="str">
        <f t="shared" si="3"/>
        <v>Nonsmoker</v>
      </c>
      <c r="M31">
        <f>IF(L31="Nonsmoker",VLOOKUP(PolicyholdersSimulation!J31,PremiumTable!$M$4:$P$41,4,FALSE),VLOOKUP(PolicyholdersSimulation!J31,PremiumTable!$S$4:$V$41,4,FALSE))</f>
        <v>80.233973036058572</v>
      </c>
    </row>
    <row r="32" spans="1:13" x14ac:dyDescent="0.3">
      <c r="A32">
        <v>7</v>
      </c>
      <c r="B32">
        <v>37</v>
      </c>
      <c r="C32">
        <f t="shared" si="0"/>
        <v>37</v>
      </c>
      <c r="D32">
        <v>0.21352893523109495</v>
      </c>
      <c r="E32" t="str">
        <f t="shared" si="2"/>
        <v>Nonsmoker</v>
      </c>
      <c r="F32">
        <f>IF(E32="Nonsmoker",VLOOKUP(PolicyholdersSimulation!C32,PremiumTable!$A$4:$D$41,4,FALSE),VLOOKUP(PolicyholdersSimulation!C32,PremiumTable!$G$4:$J$41,4,FALSE))</f>
        <v>131.04073052327638</v>
      </c>
      <c r="H32">
        <v>7</v>
      </c>
      <c r="I32">
        <v>30</v>
      </c>
      <c r="J32">
        <f t="shared" si="1"/>
        <v>30</v>
      </c>
      <c r="K32">
        <v>0.20111712459854991</v>
      </c>
      <c r="L32" t="str">
        <f t="shared" si="3"/>
        <v>Nonsmoker</v>
      </c>
      <c r="M32">
        <f>IF(L32="Nonsmoker",VLOOKUP(PolicyholdersSimulation!J32,PremiumTable!$M$4:$P$41,4,FALSE),VLOOKUP(PolicyholdersSimulation!J32,PremiumTable!$S$4:$V$41,4,FALSE))</f>
        <v>86.835735543592065</v>
      </c>
    </row>
    <row r="33" spans="1:13" x14ac:dyDescent="0.3">
      <c r="A33">
        <v>8</v>
      </c>
      <c r="B33">
        <v>44</v>
      </c>
      <c r="C33">
        <f t="shared" si="0"/>
        <v>44</v>
      </c>
      <c r="D33">
        <v>0.60021133130902748</v>
      </c>
      <c r="E33" t="str">
        <f t="shared" si="2"/>
        <v>Nonsmoker</v>
      </c>
      <c r="F33">
        <f>IF(E33="Nonsmoker",VLOOKUP(PolicyholdersSimulation!C33,PremiumTable!$A$4:$D$41,4,FALSE),VLOOKUP(PolicyholdersSimulation!C33,PremiumTable!$G$4:$J$41,4,FALSE))</f>
        <v>199.52896401205433</v>
      </c>
      <c r="H33">
        <v>8</v>
      </c>
      <c r="I33">
        <v>28</v>
      </c>
      <c r="J33">
        <f t="shared" si="1"/>
        <v>28</v>
      </c>
      <c r="K33">
        <v>5.9708957024886766E-2</v>
      </c>
      <c r="L33" t="str">
        <f t="shared" si="3"/>
        <v>Smoker</v>
      </c>
      <c r="M33">
        <f>IF(L33="Nonsmoker",VLOOKUP(PolicyholdersSimulation!J33,PremiumTable!$M$4:$P$41,4,FALSE),VLOOKUP(PolicyholdersSimulation!J33,PremiumTable!$S$4:$V$41,4,FALSE))</f>
        <v>123.88486180420303</v>
      </c>
    </row>
    <row r="34" spans="1:13" x14ac:dyDescent="0.3">
      <c r="A34">
        <v>9</v>
      </c>
      <c r="B34">
        <v>23</v>
      </c>
      <c r="C34">
        <f t="shared" si="0"/>
        <v>23</v>
      </c>
      <c r="D34">
        <v>0.82453631887783241</v>
      </c>
      <c r="E34" t="str">
        <f t="shared" si="2"/>
        <v>Nonsmoker</v>
      </c>
      <c r="F34">
        <f>IF(E34="Nonsmoker",VLOOKUP(PolicyholdersSimulation!C34,PremiumTable!$A$4:$D$41,4,FALSE),VLOOKUP(PolicyholdersSimulation!C34,PremiumTable!$G$4:$J$41,4,FALSE))</f>
        <v>105.51305445777562</v>
      </c>
      <c r="H34">
        <v>9</v>
      </c>
      <c r="I34">
        <v>37</v>
      </c>
      <c r="J34">
        <f t="shared" si="1"/>
        <v>37</v>
      </c>
      <c r="K34">
        <v>0.49445061105672916</v>
      </c>
      <c r="L34" t="str">
        <f t="shared" si="3"/>
        <v>Nonsmoker</v>
      </c>
      <c r="M34">
        <f>IF(L34="Nonsmoker",VLOOKUP(PolicyholdersSimulation!J34,PremiumTable!$M$4:$P$41,4,FALSE),VLOOKUP(PolicyholdersSimulation!J34,PremiumTable!$S$4:$V$41,4,FALSE))</f>
        <v>116.32337590156675</v>
      </c>
    </row>
    <row r="35" spans="1:13" x14ac:dyDescent="0.3">
      <c r="A35">
        <v>10</v>
      </c>
      <c r="B35">
        <v>37</v>
      </c>
      <c r="C35">
        <f t="shared" si="0"/>
        <v>37</v>
      </c>
      <c r="D35">
        <v>0.86249364755954705</v>
      </c>
      <c r="E35" t="str">
        <f t="shared" si="2"/>
        <v>Nonsmoker</v>
      </c>
      <c r="F35">
        <f>IF(E35="Nonsmoker",VLOOKUP(PolicyholdersSimulation!C35,PremiumTable!$A$4:$D$41,4,FALSE),VLOOKUP(PolicyholdersSimulation!C35,PremiumTable!$G$4:$J$41,4,FALSE))</f>
        <v>131.04073052327638</v>
      </c>
      <c r="H35">
        <v>10</v>
      </c>
      <c r="I35">
        <v>20</v>
      </c>
      <c r="J35">
        <f t="shared" si="1"/>
        <v>20</v>
      </c>
      <c r="K35">
        <v>0.58517187249518743</v>
      </c>
      <c r="L35" t="str">
        <f t="shared" si="3"/>
        <v>Nonsmoker</v>
      </c>
      <c r="M35">
        <f>IF(L35="Nonsmoker",VLOOKUP(PolicyholdersSimulation!J35,PremiumTable!$M$4:$P$41,4,FALSE),VLOOKUP(PolicyholdersSimulation!J35,PremiumTable!$S$4:$V$41,4,FALSE))</f>
        <v>86.6404678253936</v>
      </c>
    </row>
    <row r="36" spans="1:13" x14ac:dyDescent="0.3">
      <c r="A36">
        <v>11</v>
      </c>
      <c r="B36">
        <v>33</v>
      </c>
      <c r="C36">
        <f t="shared" si="0"/>
        <v>33</v>
      </c>
      <c r="D36">
        <v>0.96389765046583231</v>
      </c>
      <c r="E36" t="str">
        <f t="shared" si="2"/>
        <v>Nonsmoker</v>
      </c>
      <c r="F36">
        <f>IF(E36="Nonsmoker",VLOOKUP(PolicyholdersSimulation!C36,PremiumTable!$A$4:$D$41,4,FALSE),VLOOKUP(PolicyholdersSimulation!C36,PremiumTable!$G$4:$J$41,4,FALSE))</f>
        <v>108.39931664719025</v>
      </c>
      <c r="H36">
        <v>11</v>
      </c>
      <c r="I36">
        <v>27</v>
      </c>
      <c r="J36">
        <f t="shared" si="1"/>
        <v>27</v>
      </c>
      <c r="K36">
        <v>0.8493403490219712</v>
      </c>
      <c r="L36" t="str">
        <f t="shared" si="3"/>
        <v>Nonsmoker</v>
      </c>
      <c r="M36">
        <f>IF(L36="Nonsmoker",VLOOKUP(PolicyholdersSimulation!J36,PremiumTable!$M$4:$P$41,4,FALSE),VLOOKUP(PolicyholdersSimulation!J36,PremiumTable!$S$4:$V$41,4,FALSE))</f>
        <v>80.233973036058572</v>
      </c>
    </row>
    <row r="37" spans="1:13" x14ac:dyDescent="0.3">
      <c r="A37">
        <v>12</v>
      </c>
      <c r="B37">
        <v>32</v>
      </c>
      <c r="C37">
        <f t="shared" si="0"/>
        <v>32</v>
      </c>
      <c r="D37">
        <v>0.6456684442120737</v>
      </c>
      <c r="E37" t="str">
        <f t="shared" si="2"/>
        <v>Nonsmoker</v>
      </c>
      <c r="F37">
        <f>IF(E37="Nonsmoker",VLOOKUP(PolicyholdersSimulation!C37,PremiumTable!$A$4:$D$41,4,FALSE),VLOOKUP(PolicyholdersSimulation!C37,PremiumTable!$G$4:$J$41,4,FALSE))</f>
        <v>104.12568156832383</v>
      </c>
      <c r="H37">
        <v>12</v>
      </c>
      <c r="I37">
        <v>32</v>
      </c>
      <c r="J37">
        <f t="shared" si="1"/>
        <v>32</v>
      </c>
      <c r="K37">
        <v>0.91945241398548072</v>
      </c>
      <c r="L37" t="str">
        <f t="shared" si="3"/>
        <v>Nonsmoker</v>
      </c>
      <c r="M37">
        <f>IF(L37="Nonsmoker",VLOOKUP(PolicyholdersSimulation!J37,PremiumTable!$M$4:$P$41,4,FALSE),VLOOKUP(PolicyholdersSimulation!J37,PremiumTable!$S$4:$V$41,4,FALSE))</f>
        <v>93.792888886888633</v>
      </c>
    </row>
    <row r="38" spans="1:13" x14ac:dyDescent="0.3">
      <c r="A38">
        <v>13</v>
      </c>
      <c r="B38">
        <v>32</v>
      </c>
      <c r="C38">
        <f t="shared" si="0"/>
        <v>32</v>
      </c>
      <c r="D38">
        <v>0.5200949283594819</v>
      </c>
      <c r="E38" t="str">
        <f t="shared" si="2"/>
        <v>Nonsmoker</v>
      </c>
      <c r="F38">
        <f>IF(E38="Nonsmoker",VLOOKUP(PolicyholdersSimulation!C38,PremiumTable!$A$4:$D$41,4,FALSE),VLOOKUP(PolicyholdersSimulation!C38,PremiumTable!$G$4:$J$41,4,FALSE))</f>
        <v>104.12568156832383</v>
      </c>
      <c r="H38">
        <v>13</v>
      </c>
      <c r="I38">
        <v>39</v>
      </c>
      <c r="J38">
        <f t="shared" si="1"/>
        <v>39</v>
      </c>
      <c r="K38">
        <v>5.5513094024807419E-2</v>
      </c>
      <c r="L38" t="str">
        <f t="shared" si="3"/>
        <v>Smoker</v>
      </c>
      <c r="M38">
        <f>IF(L38="Nonsmoker",VLOOKUP(PolicyholdersSimulation!J38,PremiumTable!$M$4:$P$41,4,FALSE),VLOOKUP(PolicyholdersSimulation!J38,PremiumTable!$S$4:$V$41,4,FALSE))</f>
        <v>260.19624541315187</v>
      </c>
    </row>
    <row r="39" spans="1:13" x14ac:dyDescent="0.3">
      <c r="A39">
        <v>14</v>
      </c>
      <c r="B39">
        <v>27</v>
      </c>
      <c r="C39">
        <f t="shared" si="0"/>
        <v>27</v>
      </c>
      <c r="D39">
        <v>0.1491828721888272</v>
      </c>
      <c r="E39" t="str">
        <f t="shared" si="2"/>
        <v>Smoker</v>
      </c>
      <c r="F39">
        <f>IF(E39="Nonsmoker",VLOOKUP(PolicyholdersSimulation!C39,PremiumTable!$A$4:$D$41,4,FALSE),VLOOKUP(PolicyholdersSimulation!C39,PremiumTable!$G$4:$J$41,4,FALSE))</f>
        <v>151.4146644369799</v>
      </c>
      <c r="H39">
        <v>14</v>
      </c>
      <c r="I39">
        <v>33</v>
      </c>
      <c r="J39">
        <f t="shared" si="1"/>
        <v>33</v>
      </c>
      <c r="K39">
        <v>0.35828714607246215</v>
      </c>
      <c r="L39" t="str">
        <f t="shared" si="3"/>
        <v>Nonsmoker</v>
      </c>
      <c r="M39">
        <f>IF(L39="Nonsmoker",VLOOKUP(PolicyholdersSimulation!J39,PremiumTable!$M$4:$P$41,4,FALSE),VLOOKUP(PolicyholdersSimulation!J39,PremiumTable!$S$4:$V$41,4,FALSE))</f>
        <v>97.645038306373721</v>
      </c>
    </row>
    <row r="40" spans="1:13" x14ac:dyDescent="0.3">
      <c r="A40">
        <v>15</v>
      </c>
      <c r="B40">
        <v>32</v>
      </c>
      <c r="C40">
        <f t="shared" si="0"/>
        <v>32</v>
      </c>
      <c r="D40">
        <v>0.14238408029317395</v>
      </c>
      <c r="E40" t="str">
        <f t="shared" si="2"/>
        <v>Smoker</v>
      </c>
      <c r="F40">
        <f>IF(E40="Nonsmoker",VLOOKUP(PolicyholdersSimulation!C40,PremiumTable!$A$4:$D$41,4,FALSE),VLOOKUP(PolicyholdersSimulation!C40,PremiumTable!$G$4:$J$41,4,FALSE))</f>
        <v>201.62568229975656</v>
      </c>
      <c r="H40">
        <v>15</v>
      </c>
      <c r="I40">
        <v>37</v>
      </c>
      <c r="J40">
        <f t="shared" si="1"/>
        <v>37</v>
      </c>
      <c r="K40">
        <v>0.37313425008652534</v>
      </c>
      <c r="L40" t="str">
        <f t="shared" si="3"/>
        <v>Nonsmoker</v>
      </c>
      <c r="M40">
        <f>IF(L40="Nonsmoker",VLOOKUP(PolicyholdersSimulation!J40,PremiumTable!$M$4:$P$41,4,FALSE),VLOOKUP(PolicyholdersSimulation!J40,PremiumTable!$S$4:$V$41,4,FALSE))</f>
        <v>116.32337590156675</v>
      </c>
    </row>
    <row r="41" spans="1:13" x14ac:dyDescent="0.3">
      <c r="A41">
        <v>16</v>
      </c>
      <c r="B41">
        <v>37</v>
      </c>
      <c r="C41">
        <f t="shared" si="0"/>
        <v>37</v>
      </c>
      <c r="D41">
        <v>0.41589369850670599</v>
      </c>
      <c r="E41" t="str">
        <f t="shared" si="2"/>
        <v>Nonsmoker</v>
      </c>
      <c r="F41">
        <f>IF(E41="Nonsmoker",VLOOKUP(PolicyholdersSimulation!C41,PremiumTable!$A$4:$D$41,4,FALSE),VLOOKUP(PolicyholdersSimulation!C41,PremiumTable!$G$4:$J$41,4,FALSE))</f>
        <v>131.04073052327638</v>
      </c>
      <c r="H41">
        <v>16</v>
      </c>
      <c r="I41">
        <v>35</v>
      </c>
      <c r="J41">
        <f t="shared" si="1"/>
        <v>35</v>
      </c>
      <c r="K41">
        <v>0.95294374522643488</v>
      </c>
      <c r="L41" t="str">
        <f t="shared" si="3"/>
        <v>Nonsmoker</v>
      </c>
      <c r="M41">
        <f>IF(L41="Nonsmoker",VLOOKUP(PolicyholdersSimulation!J41,PremiumTable!$M$4:$P$41,4,FALSE),VLOOKUP(PolicyholdersSimulation!J41,PremiumTable!$S$4:$V$41,4,FALSE))</f>
        <v>106.37942043914147</v>
      </c>
    </row>
    <row r="42" spans="1:13" x14ac:dyDescent="0.3">
      <c r="A42">
        <v>17</v>
      </c>
      <c r="B42">
        <v>31</v>
      </c>
      <c r="C42">
        <f t="shared" si="0"/>
        <v>31</v>
      </c>
      <c r="D42">
        <v>0.35444266258214452</v>
      </c>
      <c r="E42" t="str">
        <f t="shared" si="2"/>
        <v>Nonsmoker</v>
      </c>
      <c r="F42">
        <f>IF(E42="Nonsmoker",VLOOKUP(PolicyholdersSimulation!C42,PremiumTable!$A$4:$D$41,4,FALSE),VLOOKUP(PolicyholdersSimulation!C42,PremiumTable!$G$4:$J$41,4,FALSE))</f>
        <v>100.09400993488123</v>
      </c>
      <c r="H42">
        <v>17</v>
      </c>
      <c r="I42">
        <v>36</v>
      </c>
      <c r="J42">
        <f t="shared" si="1"/>
        <v>36</v>
      </c>
      <c r="K42">
        <v>6.9870921003721054E-2</v>
      </c>
      <c r="L42" t="str">
        <f t="shared" si="3"/>
        <v>Smoker</v>
      </c>
      <c r="M42">
        <f>IF(L42="Nonsmoker",VLOOKUP(PolicyholdersSimulation!J42,PremiumTable!$M$4:$P$41,4,FALSE),VLOOKUP(PolicyholdersSimulation!J42,PremiumTable!$S$4:$V$41,4,FALSE))</f>
        <v>208.90622153136135</v>
      </c>
    </row>
    <row r="43" spans="1:13" x14ac:dyDescent="0.3">
      <c r="A43">
        <v>18</v>
      </c>
      <c r="B43">
        <v>35</v>
      </c>
      <c r="C43">
        <f t="shared" si="0"/>
        <v>35</v>
      </c>
      <c r="D43">
        <v>0.41832625624308772</v>
      </c>
      <c r="E43" t="str">
        <f t="shared" si="2"/>
        <v>Nonsmoker</v>
      </c>
      <c r="F43">
        <f>IF(E43="Nonsmoker",VLOOKUP(PolicyholdersSimulation!C43,PremiumTable!$A$4:$D$41,4,FALSE),VLOOKUP(PolicyholdersSimulation!C43,PremiumTable!$G$4:$J$41,4,FALSE))</f>
        <v>118.66696776486694</v>
      </c>
      <c r="H43">
        <v>18</v>
      </c>
      <c r="I43">
        <v>28</v>
      </c>
      <c r="J43">
        <f t="shared" si="1"/>
        <v>28</v>
      </c>
      <c r="K43">
        <v>0.61011924325936828</v>
      </c>
      <c r="L43" t="str">
        <f t="shared" si="3"/>
        <v>Nonsmoker</v>
      </c>
      <c r="M43">
        <f>IF(L43="Nonsmoker",VLOOKUP(PolicyholdersSimulation!J43,PremiumTable!$M$4:$P$41,4,FALSE),VLOOKUP(PolicyholdersSimulation!J43,PremiumTable!$S$4:$V$41,4,FALSE))</f>
        <v>81.666348165376135</v>
      </c>
    </row>
    <row r="44" spans="1:13" x14ac:dyDescent="0.3">
      <c r="A44">
        <v>19</v>
      </c>
      <c r="B44">
        <v>44</v>
      </c>
      <c r="C44">
        <f t="shared" si="0"/>
        <v>44</v>
      </c>
      <c r="D44">
        <v>0.39951366072531369</v>
      </c>
      <c r="E44" t="str">
        <f t="shared" si="2"/>
        <v>Nonsmoker</v>
      </c>
      <c r="F44">
        <f>IF(E44="Nonsmoker",VLOOKUP(PolicyholdersSimulation!C44,PremiumTable!$A$4:$D$41,4,FALSE),VLOOKUP(PolicyholdersSimulation!C44,PremiumTable!$G$4:$J$41,4,FALSE))</f>
        <v>199.52896401205433</v>
      </c>
      <c r="H44">
        <v>19</v>
      </c>
      <c r="I44">
        <v>33</v>
      </c>
      <c r="J44">
        <f t="shared" si="1"/>
        <v>33</v>
      </c>
      <c r="K44">
        <v>0.30367390170415842</v>
      </c>
      <c r="L44" t="str">
        <f t="shared" si="3"/>
        <v>Nonsmoker</v>
      </c>
      <c r="M44">
        <f>IF(L44="Nonsmoker",VLOOKUP(PolicyholdersSimulation!J44,PremiumTable!$M$4:$P$41,4,FALSE),VLOOKUP(PolicyholdersSimulation!J44,PremiumTable!$S$4:$V$41,4,FALSE))</f>
        <v>97.645038306373721</v>
      </c>
    </row>
    <row r="45" spans="1:13" x14ac:dyDescent="0.3">
      <c r="A45">
        <v>20</v>
      </c>
      <c r="B45">
        <v>32</v>
      </c>
      <c r="C45">
        <f t="shared" si="0"/>
        <v>32</v>
      </c>
      <c r="D45">
        <v>0.34530847706061185</v>
      </c>
      <c r="E45" t="str">
        <f t="shared" si="2"/>
        <v>Nonsmoker</v>
      </c>
      <c r="F45">
        <f>IF(E45="Nonsmoker",VLOOKUP(PolicyholdersSimulation!C45,PremiumTable!$A$4:$D$41,4,FALSE),VLOOKUP(PolicyholdersSimulation!C45,PremiumTable!$G$4:$J$41,4,FALSE))</f>
        <v>104.12568156832383</v>
      </c>
      <c r="H45">
        <v>20</v>
      </c>
      <c r="I45">
        <v>26</v>
      </c>
      <c r="J45">
        <f t="shared" si="1"/>
        <v>26</v>
      </c>
      <c r="K45">
        <v>7.0802915893991236E-2</v>
      </c>
      <c r="L45" t="str">
        <f t="shared" si="3"/>
        <v>Smoker</v>
      </c>
      <c r="M45">
        <f>IF(L45="Nonsmoker",VLOOKUP(PolicyholdersSimulation!J45,PremiumTable!$M$4:$P$41,4,FALSE),VLOOKUP(PolicyholdersSimulation!J45,PremiumTable!$S$4:$V$41,4,FALSE))</f>
        <v>110.73708221593456</v>
      </c>
    </row>
    <row r="46" spans="1:13" x14ac:dyDescent="0.3">
      <c r="A46">
        <v>21</v>
      </c>
      <c r="B46">
        <v>48</v>
      </c>
      <c r="C46">
        <f t="shared" si="0"/>
        <v>48</v>
      </c>
      <c r="D46">
        <v>0.62927542965648431</v>
      </c>
      <c r="E46" t="str">
        <f t="shared" si="2"/>
        <v>Nonsmoker</v>
      </c>
      <c r="F46">
        <f>IF(E46="Nonsmoker",VLOOKUP(PolicyholdersSimulation!C46,PremiumTable!$A$4:$D$41,4,FALSE),VLOOKUP(PolicyholdersSimulation!C46,PremiumTable!$G$4:$J$41,4,FALSE))</f>
        <v>268.70623905362021</v>
      </c>
      <c r="H46">
        <v>21</v>
      </c>
      <c r="I46">
        <v>22</v>
      </c>
      <c r="J46">
        <f t="shared" si="1"/>
        <v>22</v>
      </c>
      <c r="K46">
        <v>0.92189663193699323</v>
      </c>
      <c r="L46" t="str">
        <f t="shared" si="3"/>
        <v>Nonsmoker</v>
      </c>
      <c r="M46">
        <f>IF(L46="Nonsmoker",VLOOKUP(PolicyholdersSimulation!J46,PremiumTable!$M$4:$P$41,4,FALSE),VLOOKUP(PolicyholdersSimulation!J46,PremiumTable!$S$4:$V$41,4,FALSE))</f>
        <v>81.743813936142374</v>
      </c>
    </row>
    <row r="47" spans="1:13" x14ac:dyDescent="0.3">
      <c r="A47">
        <v>22</v>
      </c>
      <c r="B47">
        <v>40</v>
      </c>
      <c r="C47">
        <f t="shared" si="0"/>
        <v>40</v>
      </c>
      <c r="D47">
        <v>0.15025320968841005</v>
      </c>
      <c r="E47" t="str">
        <f t="shared" si="2"/>
        <v>Smoker</v>
      </c>
      <c r="F47">
        <f>IF(E47="Nonsmoker",VLOOKUP(PolicyholdersSimulation!C47,PremiumTable!$A$4:$D$41,4,FALSE),VLOOKUP(PolicyholdersSimulation!C47,PremiumTable!$G$4:$J$41,4,FALSE))</f>
        <v>327.89395065214273</v>
      </c>
      <c r="H47">
        <v>22</v>
      </c>
      <c r="I47">
        <v>38</v>
      </c>
      <c r="J47">
        <f t="shared" si="1"/>
        <v>38</v>
      </c>
      <c r="K47">
        <v>0.25496574315456755</v>
      </c>
      <c r="L47" t="str">
        <f t="shared" si="3"/>
        <v>Nonsmoker</v>
      </c>
      <c r="M47">
        <f>IF(L47="Nonsmoker",VLOOKUP(PolicyholdersSimulation!J47,PremiumTable!$M$4:$P$41,4,FALSE),VLOOKUP(PolicyholdersSimulation!J47,PremiumTable!$S$4:$V$41,4,FALSE))</f>
        <v>121.28464715590727</v>
      </c>
    </row>
    <row r="48" spans="1:13" x14ac:dyDescent="0.3">
      <c r="A48">
        <v>23</v>
      </c>
      <c r="B48">
        <v>31</v>
      </c>
      <c r="C48">
        <f t="shared" si="0"/>
        <v>31</v>
      </c>
      <c r="D48">
        <v>8.4373757555624707E-2</v>
      </c>
      <c r="E48" t="str">
        <f t="shared" si="2"/>
        <v>Smoker</v>
      </c>
      <c r="F48">
        <f>IF(E48="Nonsmoker",VLOOKUP(PolicyholdersSimulation!C48,PremiumTable!$A$4:$D$41,4,FALSE),VLOOKUP(PolicyholdersSimulation!C48,PremiumTable!$G$4:$J$41,4,FALSE))</f>
        <v>188.94899391585412</v>
      </c>
      <c r="H48">
        <v>23</v>
      </c>
      <c r="I48">
        <v>43</v>
      </c>
      <c r="J48">
        <f t="shared" si="1"/>
        <v>43</v>
      </c>
      <c r="K48">
        <v>4.7475836375225233E-2</v>
      </c>
      <c r="L48" t="str">
        <f t="shared" si="3"/>
        <v>Smoker</v>
      </c>
      <c r="M48">
        <f>IF(L48="Nonsmoker",VLOOKUP(PolicyholdersSimulation!J48,PremiumTable!$M$4:$P$41,4,FALSE),VLOOKUP(PolicyholdersSimulation!J48,PremiumTable!$S$4:$V$41,4,FALSE))</f>
        <v>352.65373211175597</v>
      </c>
    </row>
    <row r="49" spans="1:13" x14ac:dyDescent="0.3">
      <c r="A49">
        <v>24</v>
      </c>
      <c r="B49">
        <v>38</v>
      </c>
      <c r="C49">
        <f t="shared" si="0"/>
        <v>38</v>
      </c>
      <c r="D49">
        <v>0.51981963120526953</v>
      </c>
      <c r="E49" t="str">
        <f t="shared" si="2"/>
        <v>Nonsmoker</v>
      </c>
      <c r="F49">
        <f>IF(E49="Nonsmoker",VLOOKUP(PolicyholdersSimulation!C49,PremiumTable!$A$4:$D$41,4,FALSE),VLOOKUP(PolicyholdersSimulation!C49,PremiumTable!$G$4:$J$41,4,FALSE))</f>
        <v>138.40856497239142</v>
      </c>
      <c r="H49">
        <v>24</v>
      </c>
      <c r="I49">
        <v>33</v>
      </c>
      <c r="J49">
        <f t="shared" si="1"/>
        <v>33</v>
      </c>
      <c r="K49">
        <v>0.84055346393990515</v>
      </c>
      <c r="L49" t="str">
        <f t="shared" si="3"/>
        <v>Nonsmoker</v>
      </c>
      <c r="M49">
        <f>IF(L49="Nonsmoker",VLOOKUP(PolicyholdersSimulation!J49,PremiumTable!$M$4:$P$41,4,FALSE),VLOOKUP(PolicyholdersSimulation!J49,PremiumTable!$S$4:$V$41,4,FALSE))</f>
        <v>97.645038306373721</v>
      </c>
    </row>
    <row r="50" spans="1:13" x14ac:dyDescent="0.3">
      <c r="A50">
        <v>25</v>
      </c>
      <c r="B50">
        <v>34</v>
      </c>
      <c r="C50">
        <f t="shared" si="0"/>
        <v>34</v>
      </c>
      <c r="D50">
        <v>0.6019692918533045</v>
      </c>
      <c r="E50" t="str">
        <f t="shared" si="2"/>
        <v>Nonsmoker</v>
      </c>
      <c r="F50">
        <f>IF(E50="Nonsmoker",VLOOKUP(PolicyholdersSimulation!C50,PremiumTable!$A$4:$D$41,4,FALSE),VLOOKUP(PolicyholdersSimulation!C50,PremiumTable!$G$4:$J$41,4,FALSE))</f>
        <v>113.54812871502432</v>
      </c>
      <c r="H50">
        <v>25</v>
      </c>
      <c r="I50">
        <v>31</v>
      </c>
      <c r="J50">
        <f t="shared" si="1"/>
        <v>31</v>
      </c>
      <c r="K50">
        <v>0.30877604477555221</v>
      </c>
      <c r="L50" t="str">
        <f t="shared" si="3"/>
        <v>Nonsmoker</v>
      </c>
      <c r="M50">
        <f>IF(L50="Nonsmoker",VLOOKUP(PolicyholdersSimulation!J50,PremiumTable!$M$4:$P$41,4,FALSE),VLOOKUP(PolicyholdersSimulation!J50,PremiumTable!$S$4:$V$41,4,FALSE))</f>
        <v>90.615055552142564</v>
      </c>
    </row>
    <row r="51" spans="1:13" x14ac:dyDescent="0.3">
      <c r="A51">
        <v>26</v>
      </c>
      <c r="B51">
        <v>32</v>
      </c>
      <c r="C51">
        <f t="shared" si="0"/>
        <v>32</v>
      </c>
      <c r="D51">
        <v>0.26498778924408339</v>
      </c>
      <c r="E51" t="str">
        <f t="shared" si="2"/>
        <v>Nonsmoker</v>
      </c>
      <c r="F51">
        <f>IF(E51="Nonsmoker",VLOOKUP(PolicyholdersSimulation!C51,PremiumTable!$A$4:$D$41,4,FALSE),VLOOKUP(PolicyholdersSimulation!C51,PremiumTable!$G$4:$J$41,4,FALSE))</f>
        <v>104.12568156832383</v>
      </c>
      <c r="H51">
        <v>26</v>
      </c>
      <c r="I51">
        <v>23</v>
      </c>
      <c r="J51">
        <f t="shared" si="1"/>
        <v>23</v>
      </c>
      <c r="K51">
        <v>0.83178841208376963</v>
      </c>
      <c r="L51" t="str">
        <f t="shared" si="3"/>
        <v>Nonsmoker</v>
      </c>
      <c r="M51">
        <f>IF(L51="Nonsmoker",VLOOKUP(PolicyholdersSimulation!J51,PremiumTable!$M$4:$P$41,4,FALSE),VLOOKUP(PolicyholdersSimulation!J51,PremiumTable!$S$4:$V$41,4,FALSE))</f>
        <v>80.885782895186097</v>
      </c>
    </row>
    <row r="52" spans="1:13" x14ac:dyDescent="0.3">
      <c r="A52">
        <v>27</v>
      </c>
      <c r="B52">
        <v>34</v>
      </c>
      <c r="C52">
        <f t="shared" si="0"/>
        <v>34</v>
      </c>
      <c r="D52">
        <v>0.31871542053325985</v>
      </c>
      <c r="E52" t="str">
        <f t="shared" si="2"/>
        <v>Nonsmoker</v>
      </c>
      <c r="F52">
        <f>IF(E52="Nonsmoker",VLOOKUP(PolicyholdersSimulation!C52,PremiumTable!$A$4:$D$41,4,FALSE),VLOOKUP(PolicyholdersSimulation!C52,PremiumTable!$G$4:$J$41,4,FALSE))</f>
        <v>113.54812871502432</v>
      </c>
      <c r="H52">
        <v>27</v>
      </c>
      <c r="I52">
        <v>36</v>
      </c>
      <c r="J52">
        <f t="shared" si="1"/>
        <v>36</v>
      </c>
      <c r="K52">
        <v>0.20335027772231784</v>
      </c>
      <c r="L52" t="str">
        <f t="shared" si="3"/>
        <v>Nonsmoker</v>
      </c>
      <c r="M52">
        <f>IF(L52="Nonsmoker",VLOOKUP(PolicyholdersSimulation!J52,PremiumTable!$M$4:$P$41,4,FALSE),VLOOKUP(PolicyholdersSimulation!J52,PremiumTable!$S$4:$V$41,4,FALSE))</f>
        <v>111.05506919808718</v>
      </c>
    </row>
    <row r="53" spans="1:13" x14ac:dyDescent="0.3">
      <c r="A53">
        <v>28</v>
      </c>
      <c r="B53">
        <v>41</v>
      </c>
      <c r="C53">
        <f t="shared" si="0"/>
        <v>41</v>
      </c>
      <c r="D53">
        <v>0.37561303654836964</v>
      </c>
      <c r="E53" t="str">
        <f t="shared" si="2"/>
        <v>Nonsmoker</v>
      </c>
      <c r="F53">
        <f>IF(E53="Nonsmoker",VLOOKUP(PolicyholdersSimulation!C53,PremiumTable!$A$4:$D$41,4,FALSE),VLOOKUP(PolicyholdersSimulation!C53,PremiumTable!$G$4:$J$41,4,FALSE))</f>
        <v>167.10777343661104</v>
      </c>
      <c r="H53">
        <v>28</v>
      </c>
      <c r="I53">
        <v>37</v>
      </c>
      <c r="J53">
        <f t="shared" si="1"/>
        <v>37</v>
      </c>
      <c r="K53">
        <v>0.36333292960244812</v>
      </c>
      <c r="L53" t="str">
        <f t="shared" si="3"/>
        <v>Nonsmoker</v>
      </c>
      <c r="M53">
        <f>IF(L53="Nonsmoker",VLOOKUP(PolicyholdersSimulation!J53,PremiumTable!$M$4:$P$41,4,FALSE),VLOOKUP(PolicyholdersSimulation!J53,PremiumTable!$S$4:$V$41,4,FALSE))</f>
        <v>116.32337590156675</v>
      </c>
    </row>
    <row r="54" spans="1:13" x14ac:dyDescent="0.3">
      <c r="A54">
        <v>29</v>
      </c>
      <c r="B54">
        <v>43</v>
      </c>
      <c r="C54">
        <f t="shared" si="0"/>
        <v>43</v>
      </c>
      <c r="D54">
        <v>0.84238889074212597</v>
      </c>
      <c r="E54" t="str">
        <f t="shared" si="2"/>
        <v>Nonsmoker</v>
      </c>
      <c r="F54">
        <f>IF(E54="Nonsmoker",VLOOKUP(PolicyholdersSimulation!C54,PremiumTable!$A$4:$D$41,4,FALSE),VLOOKUP(PolicyholdersSimulation!C54,PremiumTable!$G$4:$J$41,4,FALSE))</f>
        <v>187.89384537033465</v>
      </c>
      <c r="H54">
        <v>29</v>
      </c>
      <c r="I54">
        <v>22</v>
      </c>
      <c r="J54">
        <f t="shared" si="1"/>
        <v>22</v>
      </c>
      <c r="K54">
        <v>0.80570192737104585</v>
      </c>
      <c r="L54" t="str">
        <f t="shared" si="3"/>
        <v>Nonsmoker</v>
      </c>
      <c r="M54">
        <f>IF(L54="Nonsmoker",VLOOKUP(PolicyholdersSimulation!J54,PremiumTable!$M$4:$P$41,4,FALSE),VLOOKUP(PolicyholdersSimulation!J54,PremiumTable!$S$4:$V$41,4,FALSE))</f>
        <v>81.743813936142374</v>
      </c>
    </row>
    <row r="55" spans="1:13" x14ac:dyDescent="0.3">
      <c r="A55">
        <v>30</v>
      </c>
      <c r="B55">
        <v>37</v>
      </c>
      <c r="C55">
        <f t="shared" si="0"/>
        <v>37</v>
      </c>
      <c r="D55">
        <v>0.74237907421941907</v>
      </c>
      <c r="E55" t="str">
        <f t="shared" si="2"/>
        <v>Nonsmoker</v>
      </c>
      <c r="F55">
        <f>IF(E55="Nonsmoker",VLOOKUP(PolicyholdersSimulation!C55,PremiumTable!$A$4:$D$41,4,FALSE),VLOOKUP(PolicyholdersSimulation!C55,PremiumTable!$G$4:$J$41,4,FALSE))</f>
        <v>131.04073052327638</v>
      </c>
      <c r="H55">
        <v>30</v>
      </c>
      <c r="I55">
        <v>32</v>
      </c>
      <c r="J55">
        <f t="shared" si="1"/>
        <v>32</v>
      </c>
      <c r="K55">
        <v>0.90349302028757983</v>
      </c>
      <c r="L55" t="str">
        <f t="shared" si="3"/>
        <v>Nonsmoker</v>
      </c>
      <c r="M55">
        <f>IF(L55="Nonsmoker",VLOOKUP(PolicyholdersSimulation!J55,PremiumTable!$M$4:$P$41,4,FALSE),VLOOKUP(PolicyholdersSimulation!J55,PremiumTable!$S$4:$V$41,4,FALSE))</f>
        <v>93.792888886888633</v>
      </c>
    </row>
    <row r="56" spans="1:13" x14ac:dyDescent="0.3">
      <c r="A56">
        <v>31</v>
      </c>
      <c r="B56">
        <v>43</v>
      </c>
      <c r="C56">
        <f t="shared" si="0"/>
        <v>43</v>
      </c>
      <c r="D56">
        <v>0.80978358135585149</v>
      </c>
      <c r="E56" t="str">
        <f t="shared" si="2"/>
        <v>Nonsmoker</v>
      </c>
      <c r="F56">
        <f>IF(E56="Nonsmoker",VLOOKUP(PolicyholdersSimulation!C56,PremiumTable!$A$4:$D$41,4,FALSE),VLOOKUP(PolicyholdersSimulation!C56,PremiumTable!$G$4:$J$41,4,FALSE))</f>
        <v>187.89384537033465</v>
      </c>
      <c r="H56">
        <v>31</v>
      </c>
      <c r="I56">
        <v>36</v>
      </c>
      <c r="J56">
        <f t="shared" si="1"/>
        <v>36</v>
      </c>
      <c r="K56">
        <v>0.23991964287955214</v>
      </c>
      <c r="L56" t="str">
        <f t="shared" si="3"/>
        <v>Nonsmoker</v>
      </c>
      <c r="M56">
        <f>IF(L56="Nonsmoker",VLOOKUP(PolicyholdersSimulation!J56,PremiumTable!$M$4:$P$41,4,FALSE),VLOOKUP(PolicyholdersSimulation!J56,PremiumTable!$S$4:$V$41,4,FALSE))</f>
        <v>111.05506919808718</v>
      </c>
    </row>
    <row r="57" spans="1:13" x14ac:dyDescent="0.3">
      <c r="A57">
        <v>32</v>
      </c>
      <c r="B57">
        <v>35</v>
      </c>
      <c r="C57">
        <f t="shared" si="0"/>
        <v>35</v>
      </c>
      <c r="D57">
        <v>0.35427919787942963</v>
      </c>
      <c r="E57" t="str">
        <f t="shared" si="2"/>
        <v>Nonsmoker</v>
      </c>
      <c r="F57">
        <f>IF(E57="Nonsmoker",VLOOKUP(PolicyholdersSimulation!C57,PremiumTable!$A$4:$D$41,4,FALSE),VLOOKUP(PolicyholdersSimulation!C57,PremiumTable!$G$4:$J$41,4,FALSE))</f>
        <v>118.66696776486694</v>
      </c>
      <c r="H57">
        <v>32</v>
      </c>
      <c r="I57">
        <v>33</v>
      </c>
      <c r="J57">
        <f t="shared" si="1"/>
        <v>33</v>
      </c>
      <c r="K57">
        <v>0.65455789316769641</v>
      </c>
      <c r="L57" t="str">
        <f t="shared" si="3"/>
        <v>Nonsmoker</v>
      </c>
      <c r="M57">
        <f>IF(L57="Nonsmoker",VLOOKUP(PolicyholdersSimulation!J57,PremiumTable!$M$4:$P$41,4,FALSE),VLOOKUP(PolicyholdersSimulation!J57,PremiumTable!$S$4:$V$41,4,FALSE))</f>
        <v>97.645038306373721</v>
      </c>
    </row>
    <row r="58" spans="1:13" x14ac:dyDescent="0.3">
      <c r="A58">
        <v>33</v>
      </c>
      <c r="B58">
        <v>28</v>
      </c>
      <c r="C58">
        <f t="shared" si="0"/>
        <v>28</v>
      </c>
      <c r="D58">
        <v>0.21194225417022838</v>
      </c>
      <c r="E58" t="str">
        <f t="shared" si="2"/>
        <v>Nonsmoker</v>
      </c>
      <c r="F58">
        <f>IF(E58="Nonsmoker",VLOOKUP(PolicyholdersSimulation!C58,PremiumTable!$A$4:$D$41,4,FALSE),VLOOKUP(PolicyholdersSimulation!C58,PremiumTable!$G$4:$J$41,4,FALSE))</f>
        <v>97.344900542817271</v>
      </c>
      <c r="H58">
        <v>33</v>
      </c>
      <c r="I58">
        <v>35</v>
      </c>
      <c r="J58">
        <f t="shared" si="1"/>
        <v>35</v>
      </c>
      <c r="K58">
        <v>0.82710974654628244</v>
      </c>
      <c r="L58" t="str">
        <f t="shared" si="3"/>
        <v>Nonsmoker</v>
      </c>
      <c r="M58">
        <f>IF(L58="Nonsmoker",VLOOKUP(PolicyholdersSimulation!J58,PremiumTable!$M$4:$P$41,4,FALSE),VLOOKUP(PolicyholdersSimulation!J58,PremiumTable!$S$4:$V$41,4,FALSE))</f>
        <v>106.37942043914147</v>
      </c>
    </row>
    <row r="59" spans="1:13" x14ac:dyDescent="0.3">
      <c r="A59">
        <v>34</v>
      </c>
      <c r="B59">
        <v>31</v>
      </c>
      <c r="C59">
        <f t="shared" si="0"/>
        <v>31</v>
      </c>
      <c r="D59">
        <v>0.78529438175808119</v>
      </c>
      <c r="E59" t="str">
        <f t="shared" si="2"/>
        <v>Nonsmoker</v>
      </c>
      <c r="F59">
        <f>IF(E59="Nonsmoker",VLOOKUP(PolicyholdersSimulation!C59,PremiumTable!$A$4:$D$41,4,FALSE),VLOOKUP(PolicyholdersSimulation!C59,PremiumTable!$G$4:$J$41,4,FALSE))</f>
        <v>100.09400993488123</v>
      </c>
      <c r="H59">
        <v>34</v>
      </c>
      <c r="I59">
        <v>25</v>
      </c>
      <c r="J59">
        <f t="shared" si="1"/>
        <v>25</v>
      </c>
      <c r="K59">
        <v>0.47196324762807829</v>
      </c>
      <c r="L59" t="str">
        <f t="shared" si="3"/>
        <v>Nonsmoker</v>
      </c>
      <c r="M59">
        <f>IF(L59="Nonsmoker",VLOOKUP(PolicyholdersSimulation!J59,PremiumTable!$M$4:$P$41,4,FALSE),VLOOKUP(PolicyholdersSimulation!J59,PremiumTable!$S$4:$V$41,4,FALSE))</f>
        <v>78.502715161507126</v>
      </c>
    </row>
    <row r="60" spans="1:13" x14ac:dyDescent="0.3">
      <c r="A60">
        <v>35</v>
      </c>
      <c r="B60">
        <v>45</v>
      </c>
      <c r="C60">
        <f t="shared" si="0"/>
        <v>45</v>
      </c>
      <c r="D60">
        <v>0.96061198214221799</v>
      </c>
      <c r="E60" t="str">
        <f t="shared" si="2"/>
        <v>Nonsmoker</v>
      </c>
      <c r="F60">
        <f>IF(E60="Nonsmoker",VLOOKUP(PolicyholdersSimulation!C60,PremiumTable!$A$4:$D$41,4,FALSE),VLOOKUP(PolicyholdersSimulation!C60,PremiumTable!$G$4:$J$41,4,FALSE))</f>
        <v>213.66497913765616</v>
      </c>
      <c r="H60">
        <v>35</v>
      </c>
      <c r="I60">
        <v>35</v>
      </c>
      <c r="J60">
        <f t="shared" si="1"/>
        <v>35</v>
      </c>
      <c r="K60">
        <v>5.7548845039706809E-2</v>
      </c>
      <c r="L60" t="str">
        <f t="shared" si="3"/>
        <v>Smoker</v>
      </c>
      <c r="M60">
        <f>IF(L60="Nonsmoker",VLOOKUP(PolicyholdersSimulation!J60,PremiumTable!$M$4:$P$41,4,FALSE),VLOOKUP(PolicyholdersSimulation!J60,PremiumTable!$S$4:$V$41,4,FALSE))</f>
        <v>196.78106952359585</v>
      </c>
    </row>
    <row r="61" spans="1:13" x14ac:dyDescent="0.3">
      <c r="A61">
        <v>36</v>
      </c>
      <c r="B61">
        <v>38</v>
      </c>
      <c r="C61">
        <f t="shared" si="0"/>
        <v>38</v>
      </c>
      <c r="D61">
        <v>0.41604017796326986</v>
      </c>
      <c r="E61" t="str">
        <f t="shared" si="2"/>
        <v>Nonsmoker</v>
      </c>
      <c r="F61">
        <f>IF(E61="Nonsmoker",VLOOKUP(PolicyholdersSimulation!C61,PremiumTable!$A$4:$D$41,4,FALSE),VLOOKUP(PolicyholdersSimulation!C61,PremiumTable!$G$4:$J$41,4,FALSE))</f>
        <v>138.40856497239142</v>
      </c>
      <c r="H61">
        <v>36</v>
      </c>
      <c r="I61">
        <v>20</v>
      </c>
      <c r="J61">
        <f t="shared" si="1"/>
        <v>20</v>
      </c>
      <c r="K61">
        <v>0.27028285804395658</v>
      </c>
      <c r="L61" t="str">
        <f t="shared" si="3"/>
        <v>Nonsmoker</v>
      </c>
      <c r="M61">
        <f>IF(L61="Nonsmoker",VLOOKUP(PolicyholdersSimulation!J61,PremiumTable!$M$4:$P$41,4,FALSE),VLOOKUP(PolicyholdersSimulation!J61,PremiumTable!$S$4:$V$41,4,FALSE))</f>
        <v>86.6404678253936</v>
      </c>
    </row>
    <row r="62" spans="1:13" x14ac:dyDescent="0.3">
      <c r="A62">
        <v>37</v>
      </c>
      <c r="B62">
        <v>44</v>
      </c>
      <c r="C62">
        <f t="shared" si="0"/>
        <v>44</v>
      </c>
      <c r="D62">
        <v>4.0033690446884984E-2</v>
      </c>
      <c r="E62" t="str">
        <f t="shared" si="2"/>
        <v>Smoker</v>
      </c>
      <c r="F62">
        <f>IF(E62="Nonsmoker",VLOOKUP(PolicyholdersSimulation!C62,PremiumTable!$A$4:$D$41,4,FALSE),VLOOKUP(PolicyholdersSimulation!C62,PremiumTable!$G$4:$J$41,4,FALSE))</f>
        <v>463.57170077473569</v>
      </c>
      <c r="H62">
        <v>37</v>
      </c>
      <c r="I62">
        <v>21</v>
      </c>
      <c r="J62">
        <f t="shared" si="1"/>
        <v>21</v>
      </c>
      <c r="K62">
        <v>7.7531499516844349E-2</v>
      </c>
      <c r="L62" t="str">
        <f t="shared" si="3"/>
        <v>Smoker</v>
      </c>
      <c r="M62">
        <f>IF(L62="Nonsmoker",VLOOKUP(PolicyholdersSimulation!J62,PremiumTable!$M$4:$P$41,4,FALSE),VLOOKUP(PolicyholdersSimulation!J62,PremiumTable!$S$4:$V$41,4,FALSE))</f>
        <v>95.204973754286641</v>
      </c>
    </row>
    <row r="63" spans="1:13" x14ac:dyDescent="0.3">
      <c r="A63">
        <v>38</v>
      </c>
      <c r="B63">
        <v>42</v>
      </c>
      <c r="C63">
        <f t="shared" si="0"/>
        <v>42</v>
      </c>
      <c r="D63">
        <v>0.95800295207028285</v>
      </c>
      <c r="E63" t="str">
        <f t="shared" si="2"/>
        <v>Nonsmoker</v>
      </c>
      <c r="F63">
        <f>IF(E63="Nonsmoker",VLOOKUP(PolicyholdersSimulation!C63,PremiumTable!$A$4:$D$41,4,FALSE),VLOOKUP(PolicyholdersSimulation!C63,PremiumTable!$G$4:$J$41,4,FALSE))</f>
        <v>177.00343034109287</v>
      </c>
      <c r="H63">
        <v>38</v>
      </c>
      <c r="I63">
        <v>29</v>
      </c>
      <c r="J63">
        <f t="shared" si="1"/>
        <v>29</v>
      </c>
      <c r="K63">
        <v>0.88910937203430729</v>
      </c>
      <c r="L63" t="str">
        <f t="shared" si="3"/>
        <v>Nonsmoker</v>
      </c>
      <c r="M63">
        <f>IF(L63="Nonsmoker",VLOOKUP(PolicyholdersSimulation!J63,PremiumTable!$M$4:$P$41,4,FALSE),VLOOKUP(PolicyholdersSimulation!J63,PremiumTable!$S$4:$V$41,4,FALSE))</f>
        <v>84.42413832124069</v>
      </c>
    </row>
    <row r="64" spans="1:13" x14ac:dyDescent="0.3">
      <c r="A64">
        <v>39</v>
      </c>
      <c r="B64">
        <v>36</v>
      </c>
      <c r="C64">
        <f t="shared" si="0"/>
        <v>36</v>
      </c>
      <c r="D64">
        <v>0.60910325579181179</v>
      </c>
      <c r="E64" t="str">
        <f t="shared" si="2"/>
        <v>Nonsmoker</v>
      </c>
      <c r="F64">
        <f>IF(E64="Nonsmoker",VLOOKUP(PolicyholdersSimulation!C64,PremiumTable!$A$4:$D$41,4,FALSE),VLOOKUP(PolicyholdersSimulation!C64,PremiumTable!$G$4:$J$41,4,FALSE))</f>
        <v>124.81197180033109</v>
      </c>
      <c r="H64">
        <v>39</v>
      </c>
      <c r="I64">
        <v>20</v>
      </c>
      <c r="J64">
        <f t="shared" si="1"/>
        <v>20</v>
      </c>
      <c r="K64">
        <v>0.14285010450566493</v>
      </c>
      <c r="L64" t="str">
        <f t="shared" si="3"/>
        <v>Smoker</v>
      </c>
      <c r="M64">
        <f>IF(L64="Nonsmoker",VLOOKUP(PolicyholdersSimulation!J64,PremiumTable!$M$4:$P$41,4,FALSE),VLOOKUP(PolicyholdersSimulation!J64,PremiumTable!$S$4:$V$41,4,FALSE))</f>
        <v>95.41892217849319</v>
      </c>
    </row>
    <row r="65" spans="1:13" x14ac:dyDescent="0.3">
      <c r="A65">
        <v>40</v>
      </c>
      <c r="B65">
        <v>33</v>
      </c>
      <c r="C65">
        <f t="shared" si="0"/>
        <v>33</v>
      </c>
      <c r="D65">
        <v>0.63759854975163621</v>
      </c>
      <c r="E65" t="str">
        <f t="shared" si="2"/>
        <v>Nonsmoker</v>
      </c>
      <c r="F65">
        <f>IF(E65="Nonsmoker",VLOOKUP(PolicyholdersSimulation!C65,PremiumTable!$A$4:$D$41,4,FALSE),VLOOKUP(PolicyholdersSimulation!C65,PremiumTable!$G$4:$J$41,4,FALSE))</f>
        <v>108.39931664719025</v>
      </c>
      <c r="H65">
        <v>40</v>
      </c>
      <c r="I65">
        <v>35</v>
      </c>
      <c r="J65">
        <f t="shared" si="1"/>
        <v>35</v>
      </c>
      <c r="K65">
        <v>0.79532266415309893</v>
      </c>
      <c r="L65" t="str">
        <f t="shared" si="3"/>
        <v>Nonsmoker</v>
      </c>
      <c r="M65">
        <f>IF(L65="Nonsmoker",VLOOKUP(PolicyholdersSimulation!J65,PremiumTable!$M$4:$P$41,4,FALSE),VLOOKUP(PolicyholdersSimulation!J65,PremiumTable!$S$4:$V$41,4,FALSE))</f>
        <v>106.37942043914147</v>
      </c>
    </row>
    <row r="66" spans="1:13" x14ac:dyDescent="0.3">
      <c r="A66">
        <v>41</v>
      </c>
      <c r="B66">
        <v>38</v>
      </c>
      <c r="C66">
        <f t="shared" si="0"/>
        <v>38</v>
      </c>
      <c r="D66">
        <v>0.9297861784165089</v>
      </c>
      <c r="E66" t="str">
        <f t="shared" si="2"/>
        <v>Nonsmoker</v>
      </c>
      <c r="F66">
        <f>IF(E66="Nonsmoker",VLOOKUP(PolicyholdersSimulation!C66,PremiumTable!$A$4:$D$41,4,FALSE),VLOOKUP(PolicyholdersSimulation!C66,PremiumTable!$G$4:$J$41,4,FALSE))</f>
        <v>138.40856497239142</v>
      </c>
      <c r="H66">
        <v>41</v>
      </c>
      <c r="I66">
        <v>35</v>
      </c>
      <c r="J66">
        <f t="shared" si="1"/>
        <v>35</v>
      </c>
      <c r="K66">
        <v>0.52580857370728851</v>
      </c>
      <c r="L66" t="str">
        <f t="shared" si="3"/>
        <v>Nonsmoker</v>
      </c>
      <c r="M66">
        <f>IF(L66="Nonsmoker",VLOOKUP(PolicyholdersSimulation!J66,PremiumTable!$M$4:$P$41,4,FALSE),VLOOKUP(PolicyholdersSimulation!J66,PremiumTable!$S$4:$V$41,4,FALSE))</f>
        <v>106.37942043914147</v>
      </c>
    </row>
    <row r="67" spans="1:13" x14ac:dyDescent="0.3">
      <c r="A67">
        <v>42</v>
      </c>
      <c r="B67">
        <v>40</v>
      </c>
      <c r="C67">
        <f t="shared" si="0"/>
        <v>40</v>
      </c>
      <c r="D67">
        <v>0.73164447251928155</v>
      </c>
      <c r="E67" t="str">
        <f t="shared" si="2"/>
        <v>Nonsmoker</v>
      </c>
      <c r="F67">
        <f>IF(E67="Nonsmoker",VLOOKUP(PolicyholdersSimulation!C67,PremiumTable!$A$4:$D$41,4,FALSE),VLOOKUP(PolicyholdersSimulation!C67,PremiumTable!$G$4:$J$41,4,FALSE))</f>
        <v>157.14195579270111</v>
      </c>
      <c r="H67">
        <v>42</v>
      </c>
      <c r="I67">
        <v>24</v>
      </c>
      <c r="J67">
        <f t="shared" si="1"/>
        <v>24</v>
      </c>
      <c r="K67">
        <v>0.19563858606023787</v>
      </c>
      <c r="L67" t="str">
        <f t="shared" si="3"/>
        <v>Smoker</v>
      </c>
      <c r="M67">
        <f>IF(L67="Nonsmoker",VLOOKUP(PolicyholdersSimulation!J67,PremiumTable!$M$4:$P$41,4,FALSE),VLOOKUP(PolicyholdersSimulation!J67,PremiumTable!$S$4:$V$41,4,FALSE))</f>
        <v>102.03197477671861</v>
      </c>
    </row>
    <row r="68" spans="1:13" x14ac:dyDescent="0.3">
      <c r="A68">
        <v>43</v>
      </c>
      <c r="B68">
        <v>36</v>
      </c>
      <c r="C68">
        <f t="shared" si="0"/>
        <v>36</v>
      </c>
      <c r="D68">
        <v>0.58522966010741051</v>
      </c>
      <c r="E68" t="str">
        <f t="shared" si="2"/>
        <v>Nonsmoker</v>
      </c>
      <c r="F68">
        <f>IF(E68="Nonsmoker",VLOOKUP(PolicyholdersSimulation!C68,PremiumTable!$A$4:$D$41,4,FALSE),VLOOKUP(PolicyholdersSimulation!C68,PremiumTable!$G$4:$J$41,4,FALSE))</f>
        <v>124.81197180033109</v>
      </c>
      <c r="H68">
        <v>43</v>
      </c>
      <c r="I68">
        <v>29</v>
      </c>
      <c r="J68">
        <f t="shared" si="1"/>
        <v>29</v>
      </c>
      <c r="K68">
        <v>0.5473164484555687</v>
      </c>
      <c r="L68" t="str">
        <f t="shared" si="3"/>
        <v>Nonsmoker</v>
      </c>
      <c r="M68">
        <f>IF(L68="Nonsmoker",VLOOKUP(PolicyholdersSimulation!J68,PremiumTable!$M$4:$P$41,4,FALSE),VLOOKUP(PolicyholdersSimulation!J68,PremiumTable!$S$4:$V$41,4,FALSE))</f>
        <v>84.42413832124069</v>
      </c>
    </row>
    <row r="69" spans="1:13" x14ac:dyDescent="0.3">
      <c r="A69">
        <v>44</v>
      </c>
      <c r="B69">
        <v>29</v>
      </c>
      <c r="C69">
        <f t="shared" si="0"/>
        <v>29</v>
      </c>
      <c r="D69">
        <v>8.019369967386214E-2</v>
      </c>
      <c r="E69" t="str">
        <f t="shared" si="2"/>
        <v>Smoker</v>
      </c>
      <c r="F69">
        <f>IF(E69="Nonsmoker",VLOOKUP(PolicyholdersSimulation!C69,PremiumTable!$A$4:$D$41,4,FALSE),VLOOKUP(PolicyholdersSimulation!C69,PremiumTable!$G$4:$J$41,4,FALSE))</f>
        <v>166.3191830281518</v>
      </c>
      <c r="H69">
        <v>44</v>
      </c>
      <c r="I69">
        <v>35</v>
      </c>
      <c r="J69">
        <f t="shared" si="1"/>
        <v>35</v>
      </c>
      <c r="K69">
        <v>6.0162913571218057E-2</v>
      </c>
      <c r="L69" t="str">
        <f t="shared" si="3"/>
        <v>Smoker</v>
      </c>
      <c r="M69">
        <f>IF(L69="Nonsmoker",VLOOKUP(PolicyholdersSimulation!J69,PremiumTable!$M$4:$P$41,4,FALSE),VLOOKUP(PolicyholdersSimulation!J69,PremiumTable!$S$4:$V$41,4,FALSE))</f>
        <v>196.78106952359585</v>
      </c>
    </row>
    <row r="70" spans="1:13" x14ac:dyDescent="0.3">
      <c r="A70">
        <v>45</v>
      </c>
      <c r="B70">
        <v>40</v>
      </c>
      <c r="C70">
        <f t="shared" si="0"/>
        <v>40</v>
      </c>
      <c r="D70">
        <v>0.72554439403217941</v>
      </c>
      <c r="E70" t="str">
        <f t="shared" si="2"/>
        <v>Nonsmoker</v>
      </c>
      <c r="F70">
        <f>IF(E70="Nonsmoker",VLOOKUP(PolicyholdersSimulation!C70,PremiumTable!$A$4:$D$41,4,FALSE),VLOOKUP(PolicyholdersSimulation!C70,PremiumTable!$G$4:$J$41,4,FALSE))</f>
        <v>157.14195579270111</v>
      </c>
      <c r="H70">
        <v>45</v>
      </c>
      <c r="I70">
        <v>27</v>
      </c>
      <c r="J70">
        <f t="shared" si="1"/>
        <v>27</v>
      </c>
      <c r="K70">
        <v>0.21307974549532505</v>
      </c>
      <c r="L70" t="str">
        <f t="shared" si="3"/>
        <v>Nonsmoker</v>
      </c>
      <c r="M70">
        <f>IF(L70="Nonsmoker",VLOOKUP(PolicyholdersSimulation!J70,PremiumTable!$M$4:$P$41,4,FALSE),VLOOKUP(PolicyholdersSimulation!J70,PremiumTable!$S$4:$V$41,4,FALSE))</f>
        <v>80.233973036058572</v>
      </c>
    </row>
    <row r="71" spans="1:13" x14ac:dyDescent="0.3">
      <c r="A71">
        <v>46</v>
      </c>
      <c r="B71">
        <v>30</v>
      </c>
      <c r="C71">
        <f t="shared" si="0"/>
        <v>30</v>
      </c>
      <c r="D71">
        <v>0.74263984788826665</v>
      </c>
      <c r="E71" t="str">
        <f t="shared" si="2"/>
        <v>Nonsmoker</v>
      </c>
      <c r="F71">
        <f>IF(E71="Nonsmoker",VLOOKUP(PolicyholdersSimulation!C71,PremiumTable!$A$4:$D$41,4,FALSE),VLOOKUP(PolicyholdersSimulation!C71,PremiumTable!$G$4:$J$41,4,FALSE))</f>
        <v>98.268933119823288</v>
      </c>
      <c r="H71">
        <v>46</v>
      </c>
      <c r="I71">
        <v>36</v>
      </c>
      <c r="J71">
        <f t="shared" si="1"/>
        <v>36</v>
      </c>
      <c r="K71">
        <v>0.82167458418401096</v>
      </c>
      <c r="L71" t="str">
        <f t="shared" si="3"/>
        <v>Nonsmoker</v>
      </c>
      <c r="M71">
        <f>IF(L71="Nonsmoker",VLOOKUP(PolicyholdersSimulation!J71,PremiumTable!$M$4:$P$41,4,FALSE),VLOOKUP(PolicyholdersSimulation!J71,PremiumTable!$S$4:$V$41,4,FALSE))</f>
        <v>111.05506919808718</v>
      </c>
    </row>
    <row r="72" spans="1:13" x14ac:dyDescent="0.3">
      <c r="A72">
        <v>47</v>
      </c>
      <c r="B72">
        <v>50</v>
      </c>
      <c r="C72">
        <f t="shared" si="0"/>
        <v>50</v>
      </c>
      <c r="D72">
        <v>0.39185974180558747</v>
      </c>
      <c r="E72" t="str">
        <f t="shared" si="2"/>
        <v>Nonsmoker</v>
      </c>
      <c r="F72">
        <f>IF(E72="Nonsmoker",VLOOKUP(PolicyholdersSimulation!C72,PremiumTable!$A$4:$D$41,4,FALSE),VLOOKUP(PolicyholdersSimulation!C72,PremiumTable!$G$4:$J$41,4,FALSE))</f>
        <v>314.98536897071239</v>
      </c>
      <c r="H72">
        <v>47</v>
      </c>
      <c r="I72">
        <v>34</v>
      </c>
      <c r="J72">
        <f t="shared" si="1"/>
        <v>34</v>
      </c>
      <c r="K72">
        <v>0.88317889245383085</v>
      </c>
      <c r="L72" t="str">
        <f t="shared" si="3"/>
        <v>Nonsmoker</v>
      </c>
      <c r="M72">
        <f>IF(L72="Nonsmoker",VLOOKUP(PolicyholdersSimulation!J72,PremiumTable!$M$4:$P$41,4,FALSE),VLOOKUP(PolicyholdersSimulation!J72,PremiumTable!$S$4:$V$41,4,FALSE))</f>
        <v>101.73968585979277</v>
      </c>
    </row>
    <row r="73" spans="1:13" x14ac:dyDescent="0.3">
      <c r="A73">
        <v>48</v>
      </c>
      <c r="B73">
        <v>39</v>
      </c>
      <c r="C73">
        <f t="shared" si="0"/>
        <v>39</v>
      </c>
      <c r="D73">
        <v>0.3677561419969716</v>
      </c>
      <c r="E73" t="str">
        <f t="shared" si="2"/>
        <v>Nonsmoker</v>
      </c>
      <c r="F73">
        <f>IF(E73="Nonsmoker",VLOOKUP(PolicyholdersSimulation!C73,PremiumTable!$A$4:$D$41,4,FALSE),VLOOKUP(PolicyholdersSimulation!C73,PremiumTable!$G$4:$J$41,4,FALSE))</f>
        <v>147.47819581803472</v>
      </c>
      <c r="H73">
        <v>48</v>
      </c>
      <c r="I73">
        <v>32</v>
      </c>
      <c r="J73">
        <f t="shared" si="1"/>
        <v>32</v>
      </c>
      <c r="K73">
        <v>0.17931880844434434</v>
      </c>
      <c r="L73" t="str">
        <f t="shared" si="3"/>
        <v>Smoker</v>
      </c>
      <c r="M73">
        <f>IF(L73="Nonsmoker",VLOOKUP(PolicyholdersSimulation!J73,PremiumTable!$M$4:$P$41,4,FALSE),VLOOKUP(PolicyholdersSimulation!J73,PremiumTable!$S$4:$V$41,4,FALSE))</f>
        <v>162.75723971023768</v>
      </c>
    </row>
    <row r="74" spans="1:13" x14ac:dyDescent="0.3">
      <c r="A74">
        <v>49</v>
      </c>
      <c r="B74">
        <v>34</v>
      </c>
      <c r="C74">
        <f t="shared" si="0"/>
        <v>34</v>
      </c>
      <c r="D74">
        <v>0.28638061298920281</v>
      </c>
      <c r="E74" t="str">
        <f t="shared" si="2"/>
        <v>Nonsmoker</v>
      </c>
      <c r="F74">
        <f>IF(E74="Nonsmoker",VLOOKUP(PolicyholdersSimulation!C74,PremiumTable!$A$4:$D$41,4,FALSE),VLOOKUP(PolicyholdersSimulation!C74,PremiumTable!$G$4:$J$41,4,FALSE))</f>
        <v>113.54812871502432</v>
      </c>
      <c r="H74">
        <v>49</v>
      </c>
      <c r="I74">
        <v>32</v>
      </c>
      <c r="J74">
        <f t="shared" si="1"/>
        <v>32</v>
      </c>
      <c r="K74">
        <v>0.49835662201801922</v>
      </c>
      <c r="L74" t="str">
        <f t="shared" si="3"/>
        <v>Nonsmoker</v>
      </c>
      <c r="M74">
        <f>IF(L74="Nonsmoker",VLOOKUP(PolicyholdersSimulation!J74,PremiumTable!$M$4:$P$41,4,FALSE),VLOOKUP(PolicyholdersSimulation!J74,PremiumTable!$S$4:$V$41,4,FALSE))</f>
        <v>93.792888886888633</v>
      </c>
    </row>
    <row r="75" spans="1:13" x14ac:dyDescent="0.3">
      <c r="A75">
        <v>50</v>
      </c>
      <c r="B75">
        <v>34</v>
      </c>
      <c r="C75">
        <f t="shared" si="0"/>
        <v>34</v>
      </c>
      <c r="D75">
        <v>0.42353215072336625</v>
      </c>
      <c r="E75" t="str">
        <f t="shared" si="2"/>
        <v>Nonsmoker</v>
      </c>
      <c r="F75">
        <f>IF(E75="Nonsmoker",VLOOKUP(PolicyholdersSimulation!C75,PremiumTable!$A$4:$D$41,4,FALSE),VLOOKUP(PolicyholdersSimulation!C75,PremiumTable!$G$4:$J$41,4,FALSE))</f>
        <v>113.54812871502432</v>
      </c>
      <c r="H75">
        <v>50</v>
      </c>
      <c r="I75">
        <v>45</v>
      </c>
      <c r="J75">
        <f t="shared" si="1"/>
        <v>45</v>
      </c>
      <c r="K75">
        <v>0.69623544845509688</v>
      </c>
      <c r="L75" t="str">
        <f t="shared" si="3"/>
        <v>Nonsmoker</v>
      </c>
      <c r="M75">
        <f>IF(L75="Nonsmoker",VLOOKUP(PolicyholdersSimulation!J75,PremiumTable!$M$4:$P$41,4,FALSE),VLOOKUP(PolicyholdersSimulation!J75,PremiumTable!$S$4:$V$41,4,FALSE))</f>
        <v>175.39058472531156</v>
      </c>
    </row>
    <row r="76" spans="1:13" x14ac:dyDescent="0.3">
      <c r="A76">
        <v>51</v>
      </c>
      <c r="B76">
        <v>30</v>
      </c>
      <c r="C76">
        <f t="shared" si="0"/>
        <v>30</v>
      </c>
      <c r="D76">
        <v>0.47335430800225009</v>
      </c>
      <c r="E76" t="str">
        <f t="shared" si="2"/>
        <v>Nonsmoker</v>
      </c>
      <c r="F76">
        <f>IF(E76="Nonsmoker",VLOOKUP(PolicyholdersSimulation!C76,PremiumTable!$A$4:$D$41,4,FALSE),VLOOKUP(PolicyholdersSimulation!C76,PremiumTable!$G$4:$J$41,4,FALSE))</f>
        <v>98.268933119823288</v>
      </c>
      <c r="H76">
        <v>51</v>
      </c>
      <c r="I76">
        <v>32</v>
      </c>
      <c r="J76">
        <f t="shared" si="1"/>
        <v>32</v>
      </c>
      <c r="K76">
        <v>0.94301631249927242</v>
      </c>
      <c r="L76" t="str">
        <f t="shared" si="3"/>
        <v>Nonsmoker</v>
      </c>
      <c r="M76">
        <f>IF(L76="Nonsmoker",VLOOKUP(PolicyholdersSimulation!J76,PremiumTable!$M$4:$P$41,4,FALSE),VLOOKUP(PolicyholdersSimulation!J76,PremiumTable!$S$4:$V$41,4,FALSE))</f>
        <v>93.792888886888633</v>
      </c>
    </row>
    <row r="77" spans="1:13" x14ac:dyDescent="0.3">
      <c r="A77">
        <v>52</v>
      </c>
      <c r="B77">
        <v>29</v>
      </c>
      <c r="C77">
        <f t="shared" si="0"/>
        <v>29</v>
      </c>
      <c r="D77">
        <v>0.83420801630072183</v>
      </c>
      <c r="E77" t="str">
        <f t="shared" si="2"/>
        <v>Nonsmoker</v>
      </c>
      <c r="F77">
        <f>IF(E77="Nonsmoker",VLOOKUP(PolicyholdersSimulation!C77,PremiumTable!$A$4:$D$41,4,FALSE),VLOOKUP(PolicyholdersSimulation!C77,PremiumTable!$G$4:$J$41,4,FALSE))</f>
        <v>97.884728277152888</v>
      </c>
      <c r="H77">
        <v>52</v>
      </c>
      <c r="I77">
        <v>34</v>
      </c>
      <c r="J77">
        <f t="shared" si="1"/>
        <v>34</v>
      </c>
      <c r="K77">
        <v>0.43670512784265214</v>
      </c>
      <c r="L77" t="str">
        <f t="shared" si="3"/>
        <v>Nonsmoker</v>
      </c>
      <c r="M77">
        <f>IF(L77="Nonsmoker",VLOOKUP(PolicyholdersSimulation!J77,PremiumTable!$M$4:$P$41,4,FALSE),VLOOKUP(PolicyholdersSimulation!J77,PremiumTable!$S$4:$V$41,4,FALSE))</f>
        <v>101.73968585979277</v>
      </c>
    </row>
    <row r="78" spans="1:13" x14ac:dyDescent="0.3">
      <c r="A78">
        <v>53</v>
      </c>
      <c r="B78">
        <v>34</v>
      </c>
      <c r="C78">
        <f t="shared" si="0"/>
        <v>34</v>
      </c>
      <c r="D78">
        <v>0.21862365278752205</v>
      </c>
      <c r="E78" t="str">
        <f t="shared" si="2"/>
        <v>Nonsmoker</v>
      </c>
      <c r="F78">
        <f>IF(E78="Nonsmoker",VLOOKUP(PolicyholdersSimulation!C78,PremiumTable!$A$4:$D$41,4,FALSE),VLOOKUP(PolicyholdersSimulation!C78,PremiumTable!$G$4:$J$41,4,FALSE))</f>
        <v>113.54812871502432</v>
      </c>
      <c r="H78">
        <v>53</v>
      </c>
      <c r="I78">
        <v>38</v>
      </c>
      <c r="J78">
        <f t="shared" si="1"/>
        <v>38</v>
      </c>
      <c r="K78">
        <v>0.6606537906419343</v>
      </c>
      <c r="L78" t="str">
        <f t="shared" si="3"/>
        <v>Nonsmoker</v>
      </c>
      <c r="M78">
        <f>IF(L78="Nonsmoker",VLOOKUP(PolicyholdersSimulation!J78,PremiumTable!$M$4:$P$41,4,FALSE),VLOOKUP(PolicyholdersSimulation!J78,PremiumTable!$S$4:$V$41,4,FALSE))</f>
        <v>121.28464715590727</v>
      </c>
    </row>
    <row r="79" spans="1:13" x14ac:dyDescent="0.3">
      <c r="A79">
        <v>54</v>
      </c>
      <c r="B79">
        <v>33</v>
      </c>
      <c r="C79">
        <f t="shared" si="0"/>
        <v>33</v>
      </c>
      <c r="D79">
        <v>0.52596665349126503</v>
      </c>
      <c r="E79" t="str">
        <f t="shared" si="2"/>
        <v>Nonsmoker</v>
      </c>
      <c r="F79">
        <f>IF(E79="Nonsmoker",VLOOKUP(PolicyholdersSimulation!C79,PremiumTable!$A$4:$D$41,4,FALSE),VLOOKUP(PolicyholdersSimulation!C79,PremiumTable!$G$4:$J$41,4,FALSE))</f>
        <v>108.39931664719025</v>
      </c>
      <c r="H79">
        <v>54</v>
      </c>
      <c r="I79">
        <v>25</v>
      </c>
      <c r="J79">
        <f t="shared" si="1"/>
        <v>25</v>
      </c>
      <c r="K79">
        <v>0.55656639385539286</v>
      </c>
      <c r="L79" t="str">
        <f t="shared" si="3"/>
        <v>Nonsmoker</v>
      </c>
      <c r="M79">
        <f>IF(L79="Nonsmoker",VLOOKUP(PolicyholdersSimulation!J79,PremiumTable!$M$4:$P$41,4,FALSE),VLOOKUP(PolicyholdersSimulation!J79,PremiumTable!$S$4:$V$41,4,FALSE))</f>
        <v>78.502715161507126</v>
      </c>
    </row>
    <row r="80" spans="1:13" x14ac:dyDescent="0.3">
      <c r="A80">
        <v>55</v>
      </c>
      <c r="B80">
        <v>39</v>
      </c>
      <c r="C80">
        <f t="shared" si="0"/>
        <v>39</v>
      </c>
      <c r="D80">
        <v>0.72490395893306625</v>
      </c>
      <c r="E80" t="str">
        <f t="shared" si="2"/>
        <v>Nonsmoker</v>
      </c>
      <c r="F80">
        <f>IF(E80="Nonsmoker",VLOOKUP(PolicyholdersSimulation!C80,PremiumTable!$A$4:$D$41,4,FALSE),VLOOKUP(PolicyholdersSimulation!C80,PremiumTable!$G$4:$J$41,4,FALSE))</f>
        <v>147.47819581803472</v>
      </c>
      <c r="H80">
        <v>55</v>
      </c>
      <c r="I80">
        <v>24</v>
      </c>
      <c r="J80">
        <f t="shared" si="1"/>
        <v>24</v>
      </c>
      <c r="K80">
        <v>0.96425461343705821</v>
      </c>
      <c r="L80" t="str">
        <f t="shared" si="3"/>
        <v>Nonsmoker</v>
      </c>
      <c r="M80">
        <f>IF(L80="Nonsmoker",VLOOKUP(PolicyholdersSimulation!J80,PremiumTable!$M$4:$P$41,4,FALSE),VLOOKUP(PolicyholdersSimulation!J80,PremiumTable!$S$4:$V$41,4,FALSE))</f>
        <v>79.12344116938408</v>
      </c>
    </row>
    <row r="81" spans="1:13" x14ac:dyDescent="0.3">
      <c r="A81">
        <v>56</v>
      </c>
      <c r="B81">
        <v>37</v>
      </c>
      <c r="C81">
        <f t="shared" si="0"/>
        <v>37</v>
      </c>
      <c r="D81">
        <v>0.16106661580327186</v>
      </c>
      <c r="E81" t="str">
        <f t="shared" si="2"/>
        <v>Smoker</v>
      </c>
      <c r="F81">
        <f>IF(E81="Nonsmoker",VLOOKUP(PolicyholdersSimulation!C81,PremiumTable!$A$4:$D$41,4,FALSE),VLOOKUP(PolicyholdersSimulation!C81,PremiumTable!$G$4:$J$41,4,FALSE))</f>
        <v>264.73732833952022</v>
      </c>
      <c r="H81">
        <v>56</v>
      </c>
      <c r="I81">
        <v>46</v>
      </c>
      <c r="J81">
        <f t="shared" si="1"/>
        <v>46</v>
      </c>
      <c r="K81">
        <v>7.5173282630546456E-2</v>
      </c>
      <c r="L81" t="str">
        <f t="shared" si="3"/>
        <v>Smoker</v>
      </c>
      <c r="M81">
        <f>IF(L81="Nonsmoker",VLOOKUP(PolicyholdersSimulation!J81,PremiumTable!$M$4:$P$41,4,FALSE),VLOOKUP(PolicyholdersSimulation!J81,PremiumTable!$S$4:$V$41,4,FALSE))</f>
        <v>456.7582478403491</v>
      </c>
    </row>
    <row r="82" spans="1:13" x14ac:dyDescent="0.3">
      <c r="A82">
        <v>57</v>
      </c>
      <c r="B82">
        <v>28</v>
      </c>
      <c r="C82">
        <f t="shared" si="0"/>
        <v>28</v>
      </c>
      <c r="D82">
        <v>7.7462180355415855E-2</v>
      </c>
      <c r="E82" t="str">
        <f t="shared" si="2"/>
        <v>Smoker</v>
      </c>
      <c r="F82">
        <f>IF(E82="Nonsmoker",VLOOKUP(PolicyholdersSimulation!C82,PremiumTable!$A$4:$D$41,4,FALSE),VLOOKUP(PolicyholdersSimulation!C82,PremiumTable!$G$4:$J$41,4,FALSE))</f>
        <v>156.97924447113215</v>
      </c>
      <c r="H82">
        <v>57</v>
      </c>
      <c r="I82">
        <v>40</v>
      </c>
      <c r="J82">
        <f t="shared" si="1"/>
        <v>40</v>
      </c>
      <c r="K82">
        <v>0.96514592628339502</v>
      </c>
      <c r="L82" t="str">
        <f t="shared" si="3"/>
        <v>Nonsmoker</v>
      </c>
      <c r="M82">
        <f>IF(L82="Nonsmoker",VLOOKUP(PolicyholdersSimulation!J82,PremiumTable!$M$4:$P$41,4,FALSE),VLOOKUP(PolicyholdersSimulation!J82,PremiumTable!$S$4:$V$41,4,FALSE))</f>
        <v>133.66130890410457</v>
      </c>
    </row>
    <row r="83" spans="1:13" x14ac:dyDescent="0.3">
      <c r="A83">
        <v>58</v>
      </c>
      <c r="B83">
        <v>51</v>
      </c>
      <c r="C83">
        <f t="shared" si="0"/>
        <v>51</v>
      </c>
      <c r="D83">
        <v>0.11671437861885592</v>
      </c>
      <c r="E83" t="str">
        <f t="shared" si="2"/>
        <v>Smoker</v>
      </c>
      <c r="F83">
        <f>IF(E83="Nonsmoker",VLOOKUP(PolicyholdersSimulation!C83,PremiumTable!$A$4:$D$41,4,FALSE),VLOOKUP(PolicyholdersSimulation!C83,PremiumTable!$G$4:$J$41,4,FALSE))</f>
        <v>968.06587881388509</v>
      </c>
      <c r="H83">
        <v>58</v>
      </c>
      <c r="I83">
        <v>32</v>
      </c>
      <c r="J83">
        <f t="shared" si="1"/>
        <v>32</v>
      </c>
      <c r="K83">
        <v>0.6050278058779881</v>
      </c>
      <c r="L83" t="str">
        <f t="shared" si="3"/>
        <v>Nonsmoker</v>
      </c>
      <c r="M83">
        <f>IF(L83="Nonsmoker",VLOOKUP(PolicyholdersSimulation!J83,PremiumTable!$M$4:$P$41,4,FALSE),VLOOKUP(PolicyholdersSimulation!J83,PremiumTable!$S$4:$V$41,4,FALSE))</f>
        <v>93.792888886888633</v>
      </c>
    </row>
    <row r="84" spans="1:13" x14ac:dyDescent="0.3">
      <c r="A84">
        <v>59</v>
      </c>
      <c r="B84">
        <v>41</v>
      </c>
      <c r="C84">
        <f t="shared" si="0"/>
        <v>41</v>
      </c>
      <c r="D84">
        <v>0.28105584078836121</v>
      </c>
      <c r="E84" t="str">
        <f t="shared" si="2"/>
        <v>Nonsmoker</v>
      </c>
      <c r="F84">
        <f>IF(E84="Nonsmoker",VLOOKUP(PolicyholdersSimulation!C84,PremiumTable!$A$4:$D$41,4,FALSE),VLOOKUP(PolicyholdersSimulation!C84,PremiumTable!$G$4:$J$41,4,FALSE))</f>
        <v>167.10777343661104</v>
      </c>
      <c r="H84">
        <v>59</v>
      </c>
      <c r="I84">
        <v>35</v>
      </c>
      <c r="J84">
        <f t="shared" si="1"/>
        <v>35</v>
      </c>
      <c r="K84">
        <v>0.20727787057180613</v>
      </c>
      <c r="L84" t="str">
        <f t="shared" si="3"/>
        <v>Nonsmoker</v>
      </c>
      <c r="M84">
        <f>IF(L84="Nonsmoker",VLOOKUP(PolicyholdersSimulation!J84,PremiumTable!$M$4:$P$41,4,FALSE),VLOOKUP(PolicyholdersSimulation!J84,PremiumTable!$S$4:$V$41,4,FALSE))</f>
        <v>106.37942043914147</v>
      </c>
    </row>
    <row r="85" spans="1:13" x14ac:dyDescent="0.3">
      <c r="A85">
        <v>60</v>
      </c>
      <c r="B85">
        <v>46</v>
      </c>
      <c r="C85">
        <f t="shared" si="0"/>
        <v>46</v>
      </c>
      <c r="D85">
        <v>3.7821488071021148E-2</v>
      </c>
      <c r="E85" t="str">
        <f t="shared" si="2"/>
        <v>Smoker</v>
      </c>
      <c r="F85">
        <f>IF(E85="Nonsmoker",VLOOKUP(PolicyholdersSimulation!C85,PremiumTable!$A$4:$D$41,4,FALSE),VLOOKUP(PolicyholdersSimulation!C85,PremiumTable!$G$4:$J$41,4,FALSE))</f>
        <v>558.919289621742</v>
      </c>
      <c r="H85">
        <v>60</v>
      </c>
      <c r="I85">
        <v>32</v>
      </c>
      <c r="J85">
        <f t="shared" si="1"/>
        <v>32</v>
      </c>
      <c r="K85">
        <v>0.52094347636678051</v>
      </c>
      <c r="L85" t="str">
        <f t="shared" si="3"/>
        <v>Nonsmoker</v>
      </c>
      <c r="M85">
        <f>IF(L85="Nonsmoker",VLOOKUP(PolicyholdersSimulation!J85,PremiumTable!$M$4:$P$41,4,FALSE),VLOOKUP(PolicyholdersSimulation!J85,PremiumTable!$S$4:$V$41,4,FALSE))</f>
        <v>93.792888886888633</v>
      </c>
    </row>
    <row r="86" spans="1:13" x14ac:dyDescent="0.3">
      <c r="A86">
        <v>61</v>
      </c>
      <c r="B86">
        <v>27</v>
      </c>
      <c r="C86">
        <f t="shared" si="0"/>
        <v>27</v>
      </c>
      <c r="D86">
        <v>0.66706641726593652</v>
      </c>
      <c r="E86" t="str">
        <f t="shared" si="2"/>
        <v>Nonsmoker</v>
      </c>
      <c r="F86">
        <f>IF(E86="Nonsmoker",VLOOKUP(PolicyholdersSimulation!C86,PremiumTable!$A$4:$D$41,4,FALSE),VLOOKUP(PolicyholdersSimulation!C86,PremiumTable!$G$4:$J$41,4,FALSE))</f>
        <v>95.45464806549127</v>
      </c>
      <c r="H86">
        <v>61</v>
      </c>
      <c r="I86">
        <v>36</v>
      </c>
      <c r="J86">
        <f t="shared" si="1"/>
        <v>36</v>
      </c>
      <c r="K86">
        <v>0.32221606937088387</v>
      </c>
      <c r="L86" t="str">
        <f t="shared" si="3"/>
        <v>Nonsmoker</v>
      </c>
      <c r="M86">
        <f>IF(L86="Nonsmoker",VLOOKUP(PolicyholdersSimulation!J86,PremiumTable!$M$4:$P$41,4,FALSE),VLOOKUP(PolicyholdersSimulation!J86,PremiumTable!$S$4:$V$41,4,FALSE))</f>
        <v>111.05506919808718</v>
      </c>
    </row>
    <row r="87" spans="1:13" x14ac:dyDescent="0.3">
      <c r="A87">
        <v>62</v>
      </c>
      <c r="B87">
        <v>43</v>
      </c>
      <c r="C87">
        <f t="shared" si="0"/>
        <v>43</v>
      </c>
      <c r="D87">
        <v>1.2903722800563622E-2</v>
      </c>
      <c r="E87" t="str">
        <f t="shared" si="2"/>
        <v>Smoker</v>
      </c>
      <c r="F87">
        <f>IF(E87="Nonsmoker",VLOOKUP(PolicyholdersSimulation!C87,PremiumTable!$A$4:$D$41,4,FALSE),VLOOKUP(PolicyholdersSimulation!C87,PremiumTable!$G$4:$J$41,4,FALSE))</f>
        <v>423.67875339275895</v>
      </c>
      <c r="H87">
        <v>62</v>
      </c>
      <c r="I87">
        <v>19</v>
      </c>
      <c r="J87">
        <f t="shared" si="1"/>
        <v>19</v>
      </c>
      <c r="K87">
        <v>0.36774562392380838</v>
      </c>
      <c r="L87" t="str">
        <f t="shared" si="3"/>
        <v>Nonsmoker</v>
      </c>
      <c r="M87">
        <f>IF(L87="Nonsmoker",VLOOKUP(PolicyholdersSimulation!J87,PremiumTable!$M$4:$P$41,4,FALSE),VLOOKUP(PolicyholdersSimulation!J87,PremiumTable!$S$4:$V$41,4,FALSE))</f>
        <v>90.499790981431659</v>
      </c>
    </row>
    <row r="88" spans="1:13" x14ac:dyDescent="0.3">
      <c r="A88">
        <v>63</v>
      </c>
      <c r="B88">
        <v>44</v>
      </c>
      <c r="C88">
        <f t="shared" si="0"/>
        <v>44</v>
      </c>
      <c r="D88">
        <v>0.52059765657119972</v>
      </c>
      <c r="E88" t="str">
        <f t="shared" si="2"/>
        <v>Nonsmoker</v>
      </c>
      <c r="F88">
        <f>IF(E88="Nonsmoker",VLOOKUP(PolicyholdersSimulation!C88,PremiumTable!$A$4:$D$41,4,FALSE),VLOOKUP(PolicyholdersSimulation!C88,PremiumTable!$G$4:$J$41,4,FALSE))</f>
        <v>199.52896401205433</v>
      </c>
      <c r="H88">
        <v>63</v>
      </c>
      <c r="I88">
        <v>26</v>
      </c>
      <c r="J88">
        <f t="shared" si="1"/>
        <v>26</v>
      </c>
      <c r="K88">
        <v>0.64978210615229703</v>
      </c>
      <c r="L88" t="str">
        <f t="shared" si="3"/>
        <v>Nonsmoker</v>
      </c>
      <c r="M88">
        <f>IF(L88="Nonsmoker",VLOOKUP(PolicyholdersSimulation!J88,PremiumTable!$M$4:$P$41,4,FALSE),VLOOKUP(PolicyholdersSimulation!J88,PremiumTable!$S$4:$V$41,4,FALSE))</f>
        <v>78.904303039663105</v>
      </c>
    </row>
    <row r="89" spans="1:13" x14ac:dyDescent="0.3">
      <c r="A89">
        <v>64</v>
      </c>
      <c r="B89">
        <v>35</v>
      </c>
      <c r="C89">
        <f t="shared" si="0"/>
        <v>35</v>
      </c>
      <c r="D89">
        <v>0.58716092662980213</v>
      </c>
      <c r="E89" t="str">
        <f t="shared" si="2"/>
        <v>Nonsmoker</v>
      </c>
      <c r="F89">
        <f>IF(E89="Nonsmoker",VLOOKUP(PolicyholdersSimulation!C89,PremiumTable!$A$4:$D$41,4,FALSE),VLOOKUP(PolicyholdersSimulation!C89,PremiumTable!$G$4:$J$41,4,FALSE))</f>
        <v>118.66696776486694</v>
      </c>
      <c r="H89">
        <v>64</v>
      </c>
      <c r="I89">
        <v>28</v>
      </c>
      <c r="J89">
        <f t="shared" si="1"/>
        <v>28</v>
      </c>
      <c r="K89">
        <v>0.88234232272810653</v>
      </c>
      <c r="L89" t="str">
        <f t="shared" si="3"/>
        <v>Nonsmoker</v>
      </c>
      <c r="M89">
        <f>IF(L89="Nonsmoker",VLOOKUP(PolicyholdersSimulation!J89,PremiumTable!$M$4:$P$41,4,FALSE),VLOOKUP(PolicyholdersSimulation!J89,PremiumTable!$S$4:$V$41,4,FALSE))</f>
        <v>81.666348165376135</v>
      </c>
    </row>
    <row r="90" spans="1:13" x14ac:dyDescent="0.3">
      <c r="A90">
        <v>65</v>
      </c>
      <c r="B90">
        <v>37</v>
      </c>
      <c r="C90">
        <f t="shared" ref="C90:C153" si="4">IF(B90&lt;num_min,num_min,IF(B90&gt;num_max,num_max,B90))</f>
        <v>37</v>
      </c>
      <c r="D90">
        <v>0.25430644222548793</v>
      </c>
      <c r="E90" t="str">
        <f t="shared" si="2"/>
        <v>Nonsmoker</v>
      </c>
      <c r="F90">
        <f>IF(E90="Nonsmoker",VLOOKUP(PolicyholdersSimulation!C90,PremiumTable!$A$4:$D$41,4,FALSE),VLOOKUP(PolicyholdersSimulation!C90,PremiumTable!$G$4:$J$41,4,FALSE))</f>
        <v>131.04073052327638</v>
      </c>
      <c r="H90">
        <v>65</v>
      </c>
      <c r="I90">
        <v>39</v>
      </c>
      <c r="J90">
        <f t="shared" ref="J90:J153" si="5">IF(I90&lt;num_min,num_min,IF(I90&gt;num_max,num_max,I90))</f>
        <v>39</v>
      </c>
      <c r="K90">
        <v>3.5739560468753484E-2</v>
      </c>
      <c r="L90" t="str">
        <f t="shared" si="3"/>
        <v>Smoker</v>
      </c>
      <c r="M90">
        <f>IF(L90="Nonsmoker",VLOOKUP(PolicyholdersSimulation!J90,PremiumTable!$M$4:$P$41,4,FALSE),VLOOKUP(PolicyholdersSimulation!J90,PremiumTable!$S$4:$V$41,4,FALSE))</f>
        <v>260.19624541315187</v>
      </c>
    </row>
    <row r="91" spans="1:13" x14ac:dyDescent="0.3">
      <c r="A91">
        <v>66</v>
      </c>
      <c r="B91">
        <v>27</v>
      </c>
      <c r="C91">
        <f t="shared" si="4"/>
        <v>27</v>
      </c>
      <c r="D91">
        <v>0.88516681463802305</v>
      </c>
      <c r="E91" t="str">
        <f t="shared" ref="E91:E154" si="6">IF(D91&lt;=0.2,"Smoker","Nonsmoker")</f>
        <v>Nonsmoker</v>
      </c>
      <c r="F91">
        <f>IF(E91="Nonsmoker",VLOOKUP(PolicyholdersSimulation!C91,PremiumTable!$A$4:$D$41,4,FALSE),VLOOKUP(PolicyholdersSimulation!C91,PremiumTable!$G$4:$J$41,4,FALSE))</f>
        <v>95.45464806549127</v>
      </c>
      <c r="H91">
        <v>66</v>
      </c>
      <c r="I91">
        <v>38</v>
      </c>
      <c r="J91">
        <f t="shared" si="5"/>
        <v>38</v>
      </c>
      <c r="K91">
        <v>5.1407742036105875E-2</v>
      </c>
      <c r="L91" t="str">
        <f t="shared" ref="L91:L154" si="7">IF(K91&lt;=0.2,"Smoker","Nonsmoker")</f>
        <v>Smoker</v>
      </c>
      <c r="M91">
        <f>IF(L91="Nonsmoker",VLOOKUP(PolicyholdersSimulation!J91,PremiumTable!$M$4:$P$41,4,FALSE),VLOOKUP(PolicyholdersSimulation!J91,PremiumTable!$S$4:$V$41,4,FALSE))</f>
        <v>241.50276881704045</v>
      </c>
    </row>
    <row r="92" spans="1:13" x14ac:dyDescent="0.3">
      <c r="A92">
        <v>67</v>
      </c>
      <c r="B92">
        <v>39</v>
      </c>
      <c r="C92">
        <f t="shared" si="4"/>
        <v>39</v>
      </c>
      <c r="D92">
        <v>0.70177496168953146</v>
      </c>
      <c r="E92" t="str">
        <f t="shared" si="6"/>
        <v>Nonsmoker</v>
      </c>
      <c r="F92">
        <f>IF(E92="Nonsmoker",VLOOKUP(PolicyholdersSimulation!C92,PremiumTable!$A$4:$D$41,4,FALSE),VLOOKUP(PolicyholdersSimulation!C92,PremiumTable!$G$4:$J$41,4,FALSE))</f>
        <v>147.47819581803472</v>
      </c>
      <c r="H92">
        <v>67</v>
      </c>
      <c r="I92">
        <v>26</v>
      </c>
      <c r="J92">
        <f t="shared" si="5"/>
        <v>26</v>
      </c>
      <c r="K92">
        <v>0.36502879617672435</v>
      </c>
      <c r="L92" t="str">
        <f t="shared" si="7"/>
        <v>Nonsmoker</v>
      </c>
      <c r="M92">
        <f>IF(L92="Nonsmoker",VLOOKUP(PolicyholdersSimulation!J92,PremiumTable!$M$4:$P$41,4,FALSE),VLOOKUP(PolicyholdersSimulation!J92,PremiumTable!$S$4:$V$41,4,FALSE))</f>
        <v>78.904303039663105</v>
      </c>
    </row>
    <row r="93" spans="1:13" x14ac:dyDescent="0.3">
      <c r="A93">
        <v>68</v>
      </c>
      <c r="B93">
        <v>39</v>
      </c>
      <c r="C93">
        <f t="shared" si="4"/>
        <v>39</v>
      </c>
      <c r="D93">
        <v>0.46829017097858183</v>
      </c>
      <c r="E93" t="str">
        <f t="shared" si="6"/>
        <v>Nonsmoker</v>
      </c>
      <c r="F93">
        <f>IF(E93="Nonsmoker",VLOOKUP(PolicyholdersSimulation!C93,PremiumTable!$A$4:$D$41,4,FALSE),VLOOKUP(PolicyholdersSimulation!C93,PremiumTable!$G$4:$J$41,4,FALSE))</f>
        <v>147.47819581803472</v>
      </c>
      <c r="H93">
        <v>68</v>
      </c>
      <c r="I93">
        <v>28</v>
      </c>
      <c r="J93">
        <f t="shared" si="5"/>
        <v>28</v>
      </c>
      <c r="K93">
        <v>0.77254490646949781</v>
      </c>
      <c r="L93" t="str">
        <f t="shared" si="7"/>
        <v>Nonsmoker</v>
      </c>
      <c r="M93">
        <f>IF(L93="Nonsmoker",VLOOKUP(PolicyholdersSimulation!J93,PremiumTable!$M$4:$P$41,4,FALSE),VLOOKUP(PolicyholdersSimulation!J93,PremiumTable!$S$4:$V$41,4,FALSE))</f>
        <v>81.666348165376135</v>
      </c>
    </row>
    <row r="94" spans="1:13" x14ac:dyDescent="0.3">
      <c r="A94">
        <v>69</v>
      </c>
      <c r="B94">
        <v>31</v>
      </c>
      <c r="C94">
        <f t="shared" si="4"/>
        <v>31</v>
      </c>
      <c r="D94">
        <v>0.2257233986271252</v>
      </c>
      <c r="E94" t="str">
        <f t="shared" si="6"/>
        <v>Nonsmoker</v>
      </c>
      <c r="F94">
        <f>IF(E94="Nonsmoker",VLOOKUP(PolicyholdersSimulation!C94,PremiumTable!$A$4:$D$41,4,FALSE),VLOOKUP(PolicyholdersSimulation!C94,PremiumTable!$G$4:$J$41,4,FALSE))</f>
        <v>100.09400993488123</v>
      </c>
      <c r="H94">
        <v>69</v>
      </c>
      <c r="I94">
        <v>30</v>
      </c>
      <c r="J94">
        <f t="shared" si="5"/>
        <v>30</v>
      </c>
      <c r="K94">
        <v>0.42987457746735092</v>
      </c>
      <c r="L94" t="str">
        <f t="shared" si="7"/>
        <v>Nonsmoker</v>
      </c>
      <c r="M94">
        <f>IF(L94="Nonsmoker",VLOOKUP(PolicyholdersSimulation!J94,PremiumTable!$M$4:$P$41,4,FALSE),VLOOKUP(PolicyholdersSimulation!J94,PremiumTable!$S$4:$V$41,4,FALSE))</f>
        <v>86.835735543592065</v>
      </c>
    </row>
    <row r="95" spans="1:13" x14ac:dyDescent="0.3">
      <c r="A95">
        <v>70</v>
      </c>
      <c r="B95">
        <v>36</v>
      </c>
      <c r="C95">
        <f t="shared" si="4"/>
        <v>36</v>
      </c>
      <c r="D95">
        <v>0.85541891887615695</v>
      </c>
      <c r="E95" t="str">
        <f t="shared" si="6"/>
        <v>Nonsmoker</v>
      </c>
      <c r="F95">
        <f>IF(E95="Nonsmoker",VLOOKUP(PolicyholdersSimulation!C95,PremiumTable!$A$4:$D$41,4,FALSE),VLOOKUP(PolicyholdersSimulation!C95,PremiumTable!$G$4:$J$41,4,FALSE))</f>
        <v>124.81197180033109</v>
      </c>
      <c r="H95">
        <v>70</v>
      </c>
      <c r="I95">
        <v>29</v>
      </c>
      <c r="J95">
        <f t="shared" si="5"/>
        <v>29</v>
      </c>
      <c r="K95">
        <v>0.89421904470435332</v>
      </c>
      <c r="L95" t="str">
        <f t="shared" si="7"/>
        <v>Nonsmoker</v>
      </c>
      <c r="M95">
        <f>IF(L95="Nonsmoker",VLOOKUP(PolicyholdersSimulation!J95,PremiumTable!$M$4:$P$41,4,FALSE),VLOOKUP(PolicyholdersSimulation!J95,PremiumTable!$S$4:$V$41,4,FALSE))</f>
        <v>84.42413832124069</v>
      </c>
    </row>
    <row r="96" spans="1:13" x14ac:dyDescent="0.3">
      <c r="A96">
        <v>71</v>
      </c>
      <c r="B96">
        <v>32</v>
      </c>
      <c r="C96">
        <f t="shared" si="4"/>
        <v>32</v>
      </c>
      <c r="D96">
        <v>0.58664490934961</v>
      </c>
      <c r="E96" t="str">
        <f t="shared" si="6"/>
        <v>Nonsmoker</v>
      </c>
      <c r="F96">
        <f>IF(E96="Nonsmoker",VLOOKUP(PolicyholdersSimulation!C96,PremiumTable!$A$4:$D$41,4,FALSE),VLOOKUP(PolicyholdersSimulation!C96,PremiumTable!$G$4:$J$41,4,FALSE))</f>
        <v>104.12568156832383</v>
      </c>
      <c r="H96">
        <v>71</v>
      </c>
      <c r="I96">
        <v>27</v>
      </c>
      <c r="J96">
        <f t="shared" si="5"/>
        <v>27</v>
      </c>
      <c r="K96">
        <v>0.5785895770237931</v>
      </c>
      <c r="L96" t="str">
        <f t="shared" si="7"/>
        <v>Nonsmoker</v>
      </c>
      <c r="M96">
        <f>IF(L96="Nonsmoker",VLOOKUP(PolicyholdersSimulation!J96,PremiumTable!$M$4:$P$41,4,FALSE),VLOOKUP(PolicyholdersSimulation!J96,PremiumTable!$S$4:$V$41,4,FALSE))</f>
        <v>80.233973036058572</v>
      </c>
    </row>
    <row r="97" spans="1:13" x14ac:dyDescent="0.3">
      <c r="A97">
        <v>72</v>
      </c>
      <c r="B97">
        <v>38</v>
      </c>
      <c r="C97">
        <f t="shared" si="4"/>
        <v>38</v>
      </c>
      <c r="D97">
        <v>0.43306102460113993</v>
      </c>
      <c r="E97" t="str">
        <f t="shared" si="6"/>
        <v>Nonsmoker</v>
      </c>
      <c r="F97">
        <f>IF(E97="Nonsmoker",VLOOKUP(PolicyholdersSimulation!C97,PremiumTable!$A$4:$D$41,4,FALSE),VLOOKUP(PolicyholdersSimulation!C97,PremiumTable!$G$4:$J$41,4,FALSE))</f>
        <v>138.40856497239142</v>
      </c>
      <c r="H97">
        <v>72</v>
      </c>
      <c r="I97">
        <v>25</v>
      </c>
      <c r="J97">
        <f t="shared" si="5"/>
        <v>25</v>
      </c>
      <c r="K97">
        <v>8.6268975407961745E-2</v>
      </c>
      <c r="L97" t="str">
        <f t="shared" si="7"/>
        <v>Smoker</v>
      </c>
      <c r="M97">
        <f>IF(L97="Nonsmoker",VLOOKUP(PolicyholdersSimulation!J97,PremiumTable!$M$4:$P$41,4,FALSE),VLOOKUP(PolicyholdersSimulation!J97,PremiumTable!$S$4:$V$41,4,FALSE))</f>
        <v>105.60110967838276</v>
      </c>
    </row>
    <row r="98" spans="1:13" x14ac:dyDescent="0.3">
      <c r="A98">
        <v>73</v>
      </c>
      <c r="B98">
        <v>48</v>
      </c>
      <c r="C98">
        <f t="shared" si="4"/>
        <v>48</v>
      </c>
      <c r="D98">
        <v>0.24199691969281389</v>
      </c>
      <c r="E98" t="str">
        <f t="shared" si="6"/>
        <v>Nonsmoker</v>
      </c>
      <c r="F98">
        <f>IF(E98="Nonsmoker",VLOOKUP(PolicyholdersSimulation!C98,PremiumTable!$A$4:$D$41,4,FALSE),VLOOKUP(PolicyholdersSimulation!C98,PremiumTable!$G$4:$J$41,4,FALSE))</f>
        <v>268.70623905362021</v>
      </c>
      <c r="H98">
        <v>73</v>
      </c>
      <c r="I98">
        <v>35</v>
      </c>
      <c r="J98">
        <f t="shared" si="5"/>
        <v>35</v>
      </c>
      <c r="K98">
        <v>0.61417848464124225</v>
      </c>
      <c r="L98" t="str">
        <f t="shared" si="7"/>
        <v>Nonsmoker</v>
      </c>
      <c r="M98">
        <f>IF(L98="Nonsmoker",VLOOKUP(PolicyholdersSimulation!J98,PremiumTable!$M$4:$P$41,4,FALSE),VLOOKUP(PolicyholdersSimulation!J98,PremiumTable!$S$4:$V$41,4,FALSE))</f>
        <v>106.37942043914147</v>
      </c>
    </row>
    <row r="99" spans="1:13" x14ac:dyDescent="0.3">
      <c r="A99">
        <v>74</v>
      </c>
      <c r="B99">
        <v>36</v>
      </c>
      <c r="C99">
        <f t="shared" si="4"/>
        <v>36</v>
      </c>
      <c r="D99">
        <v>0.58866276408036944</v>
      </c>
      <c r="E99" t="str">
        <f t="shared" si="6"/>
        <v>Nonsmoker</v>
      </c>
      <c r="F99">
        <f>IF(E99="Nonsmoker",VLOOKUP(PolicyholdersSimulation!C99,PremiumTable!$A$4:$D$41,4,FALSE),VLOOKUP(PolicyholdersSimulation!C99,PremiumTable!$G$4:$J$41,4,FALSE))</f>
        <v>124.81197180033109</v>
      </c>
      <c r="H99">
        <v>74</v>
      </c>
      <c r="I99">
        <v>33</v>
      </c>
      <c r="J99">
        <f t="shared" si="5"/>
        <v>33</v>
      </c>
      <c r="K99">
        <v>0.62384295499858344</v>
      </c>
      <c r="L99" t="str">
        <f t="shared" si="7"/>
        <v>Nonsmoker</v>
      </c>
      <c r="M99">
        <f>IF(L99="Nonsmoker",VLOOKUP(PolicyholdersSimulation!J99,PremiumTable!$M$4:$P$41,4,FALSE),VLOOKUP(PolicyholdersSimulation!J99,PremiumTable!$S$4:$V$41,4,FALSE))</f>
        <v>97.645038306373721</v>
      </c>
    </row>
    <row r="100" spans="1:13" x14ac:dyDescent="0.3">
      <c r="A100">
        <v>75</v>
      </c>
      <c r="B100">
        <v>37</v>
      </c>
      <c r="C100">
        <f t="shared" si="4"/>
        <v>37</v>
      </c>
      <c r="D100">
        <v>0.1017863156272748</v>
      </c>
      <c r="E100" t="str">
        <f t="shared" si="6"/>
        <v>Smoker</v>
      </c>
      <c r="F100">
        <f>IF(E100="Nonsmoker",VLOOKUP(PolicyholdersSimulation!C100,PremiumTable!$A$4:$D$41,4,FALSE),VLOOKUP(PolicyholdersSimulation!C100,PremiumTable!$G$4:$J$41,4,FALSE))</f>
        <v>264.73732833952022</v>
      </c>
      <c r="H100">
        <v>75</v>
      </c>
      <c r="I100">
        <v>31</v>
      </c>
      <c r="J100">
        <f t="shared" si="5"/>
        <v>31</v>
      </c>
      <c r="K100">
        <v>0.81414662842402696</v>
      </c>
      <c r="L100" t="str">
        <f t="shared" si="7"/>
        <v>Nonsmoker</v>
      </c>
      <c r="M100">
        <f>IF(L100="Nonsmoker",VLOOKUP(PolicyholdersSimulation!J100,PremiumTable!$M$4:$P$41,4,FALSE),VLOOKUP(PolicyholdersSimulation!J100,PremiumTable!$S$4:$V$41,4,FALSE))</f>
        <v>90.615055552142564</v>
      </c>
    </row>
    <row r="101" spans="1:13" x14ac:dyDescent="0.3">
      <c r="A101">
        <v>76</v>
      </c>
      <c r="B101">
        <v>42</v>
      </c>
      <c r="C101">
        <f t="shared" si="4"/>
        <v>42</v>
      </c>
      <c r="D101">
        <v>0.23298147444601247</v>
      </c>
      <c r="E101" t="str">
        <f t="shared" si="6"/>
        <v>Nonsmoker</v>
      </c>
      <c r="F101">
        <f>IF(E101="Nonsmoker",VLOOKUP(PolicyholdersSimulation!C101,PremiumTable!$A$4:$D$41,4,FALSE),VLOOKUP(PolicyholdersSimulation!C101,PremiumTable!$G$4:$J$41,4,FALSE))</f>
        <v>177.00343034109287</v>
      </c>
      <c r="H101">
        <v>76</v>
      </c>
      <c r="I101">
        <v>36</v>
      </c>
      <c r="J101">
        <f t="shared" si="5"/>
        <v>36</v>
      </c>
      <c r="K101">
        <v>0.89718677783214174</v>
      </c>
      <c r="L101" t="str">
        <f t="shared" si="7"/>
        <v>Nonsmoker</v>
      </c>
      <c r="M101">
        <f>IF(L101="Nonsmoker",VLOOKUP(PolicyholdersSimulation!J101,PremiumTable!$M$4:$P$41,4,FALSE),VLOOKUP(PolicyholdersSimulation!J101,PremiumTable!$S$4:$V$41,4,FALSE))</f>
        <v>111.05506919808718</v>
      </c>
    </row>
    <row r="102" spans="1:13" x14ac:dyDescent="0.3">
      <c r="A102">
        <v>77</v>
      </c>
      <c r="B102">
        <v>34</v>
      </c>
      <c r="C102">
        <f t="shared" si="4"/>
        <v>34</v>
      </c>
      <c r="D102">
        <v>0.14627271102398376</v>
      </c>
      <c r="E102" t="str">
        <f t="shared" si="6"/>
        <v>Smoker</v>
      </c>
      <c r="F102">
        <f>IF(E102="Nonsmoker",VLOOKUP(PolicyholdersSimulation!C102,PremiumTable!$A$4:$D$41,4,FALSE),VLOOKUP(PolicyholdersSimulation!C102,PremiumTable!$G$4:$J$41,4,FALSE))</f>
        <v>225.27351007609735</v>
      </c>
      <c r="H102">
        <v>77</v>
      </c>
      <c r="I102">
        <v>33</v>
      </c>
      <c r="J102">
        <f t="shared" si="5"/>
        <v>33</v>
      </c>
      <c r="K102">
        <v>0.28526812409922297</v>
      </c>
      <c r="L102" t="str">
        <f t="shared" si="7"/>
        <v>Nonsmoker</v>
      </c>
      <c r="M102">
        <f>IF(L102="Nonsmoker",VLOOKUP(PolicyholdersSimulation!J102,PremiumTable!$M$4:$P$41,4,FALSE),VLOOKUP(PolicyholdersSimulation!J102,PremiumTable!$S$4:$V$41,4,FALSE))</f>
        <v>97.645038306373721</v>
      </c>
    </row>
    <row r="103" spans="1:13" x14ac:dyDescent="0.3">
      <c r="A103">
        <v>78</v>
      </c>
      <c r="B103">
        <v>28</v>
      </c>
      <c r="C103">
        <f t="shared" si="4"/>
        <v>28</v>
      </c>
      <c r="D103">
        <v>0.42935660583669755</v>
      </c>
      <c r="E103" t="str">
        <f t="shared" si="6"/>
        <v>Nonsmoker</v>
      </c>
      <c r="F103">
        <f>IF(E103="Nonsmoker",VLOOKUP(PolicyholdersSimulation!C103,PremiumTable!$A$4:$D$41,4,FALSE),VLOOKUP(PolicyholdersSimulation!C103,PremiumTable!$G$4:$J$41,4,FALSE))</f>
        <v>97.344900542817271</v>
      </c>
      <c r="H103">
        <v>78</v>
      </c>
      <c r="I103">
        <v>39</v>
      </c>
      <c r="J103">
        <f t="shared" si="5"/>
        <v>39</v>
      </c>
      <c r="K103">
        <v>0.37813418966009538</v>
      </c>
      <c r="L103" t="str">
        <f t="shared" si="7"/>
        <v>Nonsmoker</v>
      </c>
      <c r="M103">
        <f>IF(L103="Nonsmoker",VLOOKUP(PolicyholdersSimulation!J103,PremiumTable!$M$4:$P$41,4,FALSE),VLOOKUP(PolicyholdersSimulation!J103,PremiumTable!$S$4:$V$41,4,FALSE))</f>
        <v>127.51379701253681</v>
      </c>
    </row>
    <row r="104" spans="1:13" x14ac:dyDescent="0.3">
      <c r="A104">
        <v>79</v>
      </c>
      <c r="B104">
        <v>42</v>
      </c>
      <c r="C104">
        <f t="shared" si="4"/>
        <v>42</v>
      </c>
      <c r="D104">
        <v>0.84925665460867628</v>
      </c>
      <c r="E104" t="str">
        <f t="shared" si="6"/>
        <v>Nonsmoker</v>
      </c>
      <c r="F104">
        <f>IF(E104="Nonsmoker",VLOOKUP(PolicyholdersSimulation!C104,PremiumTable!$A$4:$D$41,4,FALSE),VLOOKUP(PolicyholdersSimulation!C104,PremiumTable!$G$4:$J$41,4,FALSE))</f>
        <v>177.00343034109287</v>
      </c>
      <c r="H104">
        <v>79</v>
      </c>
      <c r="I104">
        <v>39</v>
      </c>
      <c r="J104">
        <f t="shared" si="5"/>
        <v>39</v>
      </c>
      <c r="K104">
        <v>0.44928979414350967</v>
      </c>
      <c r="L104" t="str">
        <f t="shared" si="7"/>
        <v>Nonsmoker</v>
      </c>
      <c r="M104">
        <f>IF(L104="Nonsmoker",VLOOKUP(PolicyholdersSimulation!J104,PremiumTable!$M$4:$P$41,4,FALSE),VLOOKUP(PolicyholdersSimulation!J104,PremiumTable!$S$4:$V$41,4,FALSE))</f>
        <v>127.51379701253681</v>
      </c>
    </row>
    <row r="105" spans="1:13" x14ac:dyDescent="0.3">
      <c r="A105">
        <v>80</v>
      </c>
      <c r="B105">
        <v>37</v>
      </c>
      <c r="C105">
        <f t="shared" si="4"/>
        <v>37</v>
      </c>
      <c r="D105">
        <v>0.22554609530926961</v>
      </c>
      <c r="E105" t="str">
        <f t="shared" si="6"/>
        <v>Nonsmoker</v>
      </c>
      <c r="F105">
        <f>IF(E105="Nonsmoker",VLOOKUP(PolicyholdersSimulation!C105,PremiumTable!$A$4:$D$41,4,FALSE),VLOOKUP(PolicyholdersSimulation!C105,PremiumTable!$G$4:$J$41,4,FALSE))</f>
        <v>131.04073052327638</v>
      </c>
      <c r="H105">
        <v>80</v>
      </c>
      <c r="I105">
        <v>28</v>
      </c>
      <c r="J105">
        <f t="shared" si="5"/>
        <v>28</v>
      </c>
      <c r="K105">
        <v>0.17903397767486628</v>
      </c>
      <c r="L105" t="str">
        <f t="shared" si="7"/>
        <v>Smoker</v>
      </c>
      <c r="M105">
        <f>IF(L105="Nonsmoker",VLOOKUP(PolicyholdersSimulation!J105,PremiumTable!$M$4:$P$41,4,FALSE),VLOOKUP(PolicyholdersSimulation!J105,PremiumTable!$S$4:$V$41,4,FALSE))</f>
        <v>123.88486180420303</v>
      </c>
    </row>
    <row r="106" spans="1:13" x14ac:dyDescent="0.3">
      <c r="A106">
        <v>81</v>
      </c>
      <c r="B106">
        <v>37</v>
      </c>
      <c r="C106">
        <f t="shared" si="4"/>
        <v>37</v>
      </c>
      <c r="D106">
        <v>0.33426839019161558</v>
      </c>
      <c r="E106" t="str">
        <f t="shared" si="6"/>
        <v>Nonsmoker</v>
      </c>
      <c r="F106">
        <f>IF(E106="Nonsmoker",VLOOKUP(PolicyholdersSimulation!C106,PremiumTable!$A$4:$D$41,4,FALSE),VLOOKUP(PolicyholdersSimulation!C106,PremiumTable!$G$4:$J$41,4,FALSE))</f>
        <v>131.04073052327638</v>
      </c>
      <c r="H106">
        <v>81</v>
      </c>
      <c r="I106">
        <v>26</v>
      </c>
      <c r="J106">
        <f t="shared" si="5"/>
        <v>26</v>
      </c>
      <c r="K106">
        <v>0.70673658374145454</v>
      </c>
      <c r="L106" t="str">
        <f t="shared" si="7"/>
        <v>Nonsmoker</v>
      </c>
      <c r="M106">
        <f>IF(L106="Nonsmoker",VLOOKUP(PolicyholdersSimulation!J106,PremiumTable!$M$4:$P$41,4,FALSE),VLOOKUP(PolicyholdersSimulation!J106,PremiumTable!$S$4:$V$41,4,FALSE))</f>
        <v>78.904303039663105</v>
      </c>
    </row>
    <row r="107" spans="1:13" x14ac:dyDescent="0.3">
      <c r="A107">
        <v>82</v>
      </c>
      <c r="B107">
        <v>44</v>
      </c>
      <c r="C107">
        <f t="shared" si="4"/>
        <v>44</v>
      </c>
      <c r="D107">
        <v>4.6953364852253099E-2</v>
      </c>
      <c r="E107" t="str">
        <f t="shared" si="6"/>
        <v>Smoker</v>
      </c>
      <c r="F107">
        <f>IF(E107="Nonsmoker",VLOOKUP(PolicyholdersSimulation!C107,PremiumTable!$A$4:$D$41,4,FALSE),VLOOKUP(PolicyholdersSimulation!C107,PremiumTable!$G$4:$J$41,4,FALSE))</f>
        <v>463.57170077473569</v>
      </c>
      <c r="H107">
        <v>82</v>
      </c>
      <c r="I107">
        <v>28</v>
      </c>
      <c r="J107">
        <f t="shared" si="5"/>
        <v>28</v>
      </c>
      <c r="K107">
        <v>0.54480412999653871</v>
      </c>
      <c r="L107" t="str">
        <f t="shared" si="7"/>
        <v>Nonsmoker</v>
      </c>
      <c r="M107">
        <f>IF(L107="Nonsmoker",VLOOKUP(PolicyholdersSimulation!J107,PremiumTable!$M$4:$P$41,4,FALSE),VLOOKUP(PolicyholdersSimulation!J107,PremiumTable!$S$4:$V$41,4,FALSE))</f>
        <v>81.666348165376135</v>
      </c>
    </row>
    <row r="108" spans="1:13" x14ac:dyDescent="0.3">
      <c r="A108">
        <v>83</v>
      </c>
      <c r="B108">
        <v>47</v>
      </c>
      <c r="C108">
        <f t="shared" si="4"/>
        <v>47</v>
      </c>
      <c r="D108">
        <v>0.52278013254101097</v>
      </c>
      <c r="E108" t="str">
        <f t="shared" si="6"/>
        <v>Nonsmoker</v>
      </c>
      <c r="F108">
        <f>IF(E108="Nonsmoker",VLOOKUP(PolicyholdersSimulation!C108,PremiumTable!$A$4:$D$41,4,FALSE),VLOOKUP(PolicyholdersSimulation!C108,PremiumTable!$G$4:$J$41,4,FALSE))</f>
        <v>248.06108695368769</v>
      </c>
      <c r="H108">
        <v>83</v>
      </c>
      <c r="I108">
        <v>30</v>
      </c>
      <c r="J108">
        <f t="shared" si="5"/>
        <v>30</v>
      </c>
      <c r="K108">
        <v>0.71497754938927682</v>
      </c>
      <c r="L108" t="str">
        <f t="shared" si="7"/>
        <v>Nonsmoker</v>
      </c>
      <c r="M108">
        <f>IF(L108="Nonsmoker",VLOOKUP(PolicyholdersSimulation!J108,PremiumTable!$M$4:$P$41,4,FALSE),VLOOKUP(PolicyholdersSimulation!J108,PremiumTable!$S$4:$V$41,4,FALSE))</f>
        <v>86.835735543592065</v>
      </c>
    </row>
    <row r="109" spans="1:13" x14ac:dyDescent="0.3">
      <c r="A109">
        <v>84</v>
      </c>
      <c r="B109">
        <v>53</v>
      </c>
      <c r="C109">
        <f t="shared" si="4"/>
        <v>53</v>
      </c>
      <c r="D109">
        <v>0.12712152494989537</v>
      </c>
      <c r="E109" t="str">
        <f t="shared" si="6"/>
        <v>Smoker</v>
      </c>
      <c r="F109">
        <f>IF(E109="Nonsmoker",VLOOKUP(PolicyholdersSimulation!C109,PremiumTable!$A$4:$D$41,4,FALSE),VLOOKUP(PolicyholdersSimulation!C109,PremiumTable!$G$4:$J$41,4,FALSE))</f>
        <v>1229.9071458619132</v>
      </c>
      <c r="H109">
        <v>84</v>
      </c>
      <c r="I109">
        <v>35</v>
      </c>
      <c r="J109">
        <f t="shared" si="5"/>
        <v>35</v>
      </c>
      <c r="K109">
        <v>0.1104586918855428</v>
      </c>
      <c r="L109" t="str">
        <f t="shared" si="7"/>
        <v>Smoker</v>
      </c>
      <c r="M109">
        <f>IF(L109="Nonsmoker",VLOOKUP(PolicyholdersSimulation!J109,PremiumTable!$M$4:$P$41,4,FALSE),VLOOKUP(PolicyholdersSimulation!J109,PremiumTable!$S$4:$V$41,4,FALSE))</f>
        <v>196.78106952359585</v>
      </c>
    </row>
    <row r="110" spans="1:13" x14ac:dyDescent="0.3">
      <c r="A110">
        <v>85</v>
      </c>
      <c r="B110">
        <v>37</v>
      </c>
      <c r="C110">
        <f t="shared" si="4"/>
        <v>37</v>
      </c>
      <c r="D110">
        <v>0.56483215941130194</v>
      </c>
      <c r="E110" t="str">
        <f t="shared" si="6"/>
        <v>Nonsmoker</v>
      </c>
      <c r="F110">
        <f>IF(E110="Nonsmoker",VLOOKUP(PolicyholdersSimulation!C110,PremiumTable!$A$4:$D$41,4,FALSE),VLOOKUP(PolicyholdersSimulation!C110,PremiumTable!$G$4:$J$41,4,FALSE))</f>
        <v>131.04073052327638</v>
      </c>
      <c r="H110">
        <v>85</v>
      </c>
      <c r="I110">
        <v>29</v>
      </c>
      <c r="J110">
        <f t="shared" si="5"/>
        <v>29</v>
      </c>
      <c r="K110">
        <v>0.87456422525649979</v>
      </c>
      <c r="L110" t="str">
        <f t="shared" si="7"/>
        <v>Nonsmoker</v>
      </c>
      <c r="M110">
        <f>IF(L110="Nonsmoker",VLOOKUP(PolicyholdersSimulation!J110,PremiumTable!$M$4:$P$41,4,FALSE),VLOOKUP(PolicyholdersSimulation!J110,PremiumTable!$S$4:$V$41,4,FALSE))</f>
        <v>84.42413832124069</v>
      </c>
    </row>
    <row r="111" spans="1:13" x14ac:dyDescent="0.3">
      <c r="A111">
        <v>86</v>
      </c>
      <c r="B111">
        <v>31</v>
      </c>
      <c r="C111">
        <f t="shared" si="4"/>
        <v>31</v>
      </c>
      <c r="D111">
        <v>0.12624844851087358</v>
      </c>
      <c r="E111" t="str">
        <f t="shared" si="6"/>
        <v>Smoker</v>
      </c>
      <c r="F111">
        <f>IF(E111="Nonsmoker",VLOOKUP(PolicyholdersSimulation!C111,PremiumTable!$A$4:$D$41,4,FALSE),VLOOKUP(PolicyholdersSimulation!C111,PremiumTable!$G$4:$J$41,4,FALSE))</f>
        <v>188.94899391585412</v>
      </c>
      <c r="H111">
        <v>86</v>
      </c>
      <c r="I111">
        <v>28</v>
      </c>
      <c r="J111">
        <f t="shared" si="5"/>
        <v>28</v>
      </c>
      <c r="K111">
        <v>7.0332446393796322E-2</v>
      </c>
      <c r="L111" t="str">
        <f t="shared" si="7"/>
        <v>Smoker</v>
      </c>
      <c r="M111">
        <f>IF(L111="Nonsmoker",VLOOKUP(PolicyholdersSimulation!J111,PremiumTable!$M$4:$P$41,4,FALSE),VLOOKUP(PolicyholdersSimulation!J111,PremiumTable!$S$4:$V$41,4,FALSE))</f>
        <v>123.88486180420303</v>
      </c>
    </row>
    <row r="112" spans="1:13" x14ac:dyDescent="0.3">
      <c r="A112">
        <v>87</v>
      </c>
      <c r="B112">
        <v>39</v>
      </c>
      <c r="C112">
        <f t="shared" si="4"/>
        <v>39</v>
      </c>
      <c r="D112">
        <v>0.83213554691635927</v>
      </c>
      <c r="E112" t="str">
        <f t="shared" si="6"/>
        <v>Nonsmoker</v>
      </c>
      <c r="F112">
        <f>IF(E112="Nonsmoker",VLOOKUP(PolicyholdersSimulation!C112,PremiumTable!$A$4:$D$41,4,FALSE),VLOOKUP(PolicyholdersSimulation!C112,PremiumTable!$G$4:$J$41,4,FALSE))</f>
        <v>147.47819581803472</v>
      </c>
      <c r="H112">
        <v>87</v>
      </c>
      <c r="I112">
        <v>28</v>
      </c>
      <c r="J112">
        <f t="shared" si="5"/>
        <v>28</v>
      </c>
      <c r="K112">
        <v>0.12663402942107382</v>
      </c>
      <c r="L112" t="str">
        <f t="shared" si="7"/>
        <v>Smoker</v>
      </c>
      <c r="M112">
        <f>IF(L112="Nonsmoker",VLOOKUP(PolicyholdersSimulation!J112,PremiumTable!$M$4:$P$41,4,FALSE),VLOOKUP(PolicyholdersSimulation!J112,PremiumTable!$S$4:$V$41,4,FALSE))</f>
        <v>123.88486180420303</v>
      </c>
    </row>
    <row r="113" spans="1:13" x14ac:dyDescent="0.3">
      <c r="A113">
        <v>88</v>
      </c>
      <c r="B113">
        <v>40</v>
      </c>
      <c r="C113">
        <f t="shared" si="4"/>
        <v>40</v>
      </c>
      <c r="D113">
        <v>0.3440919135433903</v>
      </c>
      <c r="E113" t="str">
        <f t="shared" si="6"/>
        <v>Nonsmoker</v>
      </c>
      <c r="F113">
        <f>IF(E113="Nonsmoker",VLOOKUP(PolicyholdersSimulation!C113,PremiumTable!$A$4:$D$41,4,FALSE),VLOOKUP(PolicyholdersSimulation!C113,PremiumTable!$G$4:$J$41,4,FALSE))</f>
        <v>157.14195579270111</v>
      </c>
      <c r="H113">
        <v>88</v>
      </c>
      <c r="I113">
        <v>30</v>
      </c>
      <c r="J113">
        <f t="shared" si="5"/>
        <v>30</v>
      </c>
      <c r="K113">
        <v>0.47801320715848861</v>
      </c>
      <c r="L113" t="str">
        <f t="shared" si="7"/>
        <v>Nonsmoker</v>
      </c>
      <c r="M113">
        <f>IF(L113="Nonsmoker",VLOOKUP(PolicyholdersSimulation!J113,PremiumTable!$M$4:$P$41,4,FALSE),VLOOKUP(PolicyholdersSimulation!J113,PremiumTable!$S$4:$V$41,4,FALSE))</f>
        <v>86.835735543592065</v>
      </c>
    </row>
    <row r="114" spans="1:13" x14ac:dyDescent="0.3">
      <c r="A114">
        <v>89</v>
      </c>
      <c r="B114">
        <v>47</v>
      </c>
      <c r="C114">
        <f t="shared" si="4"/>
        <v>47</v>
      </c>
      <c r="D114">
        <v>0.93253129092954512</v>
      </c>
      <c r="E114" t="str">
        <f t="shared" si="6"/>
        <v>Nonsmoker</v>
      </c>
      <c r="F114">
        <f>IF(E114="Nonsmoker",VLOOKUP(PolicyholdersSimulation!C114,PremiumTable!$A$4:$D$41,4,FALSE),VLOOKUP(PolicyholdersSimulation!C114,PremiumTable!$G$4:$J$41,4,FALSE))</f>
        <v>248.06108695368769</v>
      </c>
      <c r="H114">
        <v>89</v>
      </c>
      <c r="I114">
        <v>26</v>
      </c>
      <c r="J114">
        <f t="shared" si="5"/>
        <v>26</v>
      </c>
      <c r="K114">
        <v>7.271191696157131E-2</v>
      </c>
      <c r="L114" t="str">
        <f t="shared" si="7"/>
        <v>Smoker</v>
      </c>
      <c r="M114">
        <f>IF(L114="Nonsmoker",VLOOKUP(PolicyholdersSimulation!J114,PremiumTable!$M$4:$P$41,4,FALSE),VLOOKUP(PolicyholdersSimulation!J114,PremiumTable!$S$4:$V$41,4,FALSE))</f>
        <v>110.73708221593456</v>
      </c>
    </row>
    <row r="115" spans="1:13" x14ac:dyDescent="0.3">
      <c r="A115">
        <v>90</v>
      </c>
      <c r="B115">
        <v>36</v>
      </c>
      <c r="C115">
        <f t="shared" si="4"/>
        <v>36</v>
      </c>
      <c r="D115">
        <v>0.78365906275158026</v>
      </c>
      <c r="E115" t="str">
        <f t="shared" si="6"/>
        <v>Nonsmoker</v>
      </c>
      <c r="F115">
        <f>IF(E115="Nonsmoker",VLOOKUP(PolicyholdersSimulation!C115,PremiumTable!$A$4:$D$41,4,FALSE),VLOOKUP(PolicyholdersSimulation!C115,PremiumTable!$G$4:$J$41,4,FALSE))</f>
        <v>124.81197180033109</v>
      </c>
      <c r="H115">
        <v>90</v>
      </c>
      <c r="I115">
        <v>21</v>
      </c>
      <c r="J115">
        <f t="shared" si="5"/>
        <v>21</v>
      </c>
      <c r="K115">
        <v>0.26666133400112058</v>
      </c>
      <c r="L115" t="str">
        <f t="shared" si="7"/>
        <v>Nonsmoker</v>
      </c>
      <c r="M115">
        <f>IF(L115="Nonsmoker",VLOOKUP(PolicyholdersSimulation!J115,PremiumTable!$M$4:$P$41,4,FALSE),VLOOKUP(PolicyholdersSimulation!J115,PremiumTable!$S$4:$V$41,4,FALSE))</f>
        <v>83.888160082848557</v>
      </c>
    </row>
    <row r="116" spans="1:13" x14ac:dyDescent="0.3">
      <c r="A116">
        <v>91</v>
      </c>
      <c r="B116">
        <v>43</v>
      </c>
      <c r="C116">
        <f t="shared" si="4"/>
        <v>43</v>
      </c>
      <c r="D116">
        <v>0.60166791110199502</v>
      </c>
      <c r="E116" t="str">
        <f t="shared" si="6"/>
        <v>Nonsmoker</v>
      </c>
      <c r="F116">
        <f>IF(E116="Nonsmoker",VLOOKUP(PolicyholdersSimulation!C116,PremiumTable!$A$4:$D$41,4,FALSE),VLOOKUP(PolicyholdersSimulation!C116,PremiumTable!$G$4:$J$41,4,FALSE))</f>
        <v>187.89384537033465</v>
      </c>
      <c r="H116">
        <v>91</v>
      </c>
      <c r="I116">
        <v>31</v>
      </c>
      <c r="J116">
        <f t="shared" si="5"/>
        <v>31</v>
      </c>
      <c r="K116">
        <v>0.93449805663596797</v>
      </c>
      <c r="L116" t="str">
        <f t="shared" si="7"/>
        <v>Nonsmoker</v>
      </c>
      <c r="M116">
        <f>IF(L116="Nonsmoker",VLOOKUP(PolicyholdersSimulation!J116,PremiumTable!$M$4:$P$41,4,FALSE),VLOOKUP(PolicyholdersSimulation!J116,PremiumTable!$S$4:$V$41,4,FALSE))</f>
        <v>90.615055552142564</v>
      </c>
    </row>
    <row r="117" spans="1:13" x14ac:dyDescent="0.3">
      <c r="A117">
        <v>92</v>
      </c>
      <c r="B117">
        <v>25</v>
      </c>
      <c r="C117">
        <f t="shared" si="4"/>
        <v>25</v>
      </c>
      <c r="D117">
        <v>0.40675596571559947</v>
      </c>
      <c r="E117" t="str">
        <f t="shared" si="6"/>
        <v>Nonsmoker</v>
      </c>
      <c r="F117">
        <f>IF(E117="Nonsmoker",VLOOKUP(PolicyholdersSimulation!C117,PremiumTable!$A$4:$D$41,4,FALSE),VLOOKUP(PolicyholdersSimulation!C117,PremiumTable!$G$4:$J$41,4,FALSE))</f>
        <v>96.273482117369966</v>
      </c>
      <c r="H117">
        <v>92</v>
      </c>
      <c r="I117">
        <v>29</v>
      </c>
      <c r="J117">
        <f t="shared" si="5"/>
        <v>29</v>
      </c>
      <c r="K117">
        <v>8.6516272350827594E-2</v>
      </c>
      <c r="L117" t="str">
        <f t="shared" si="7"/>
        <v>Smoker</v>
      </c>
      <c r="M117">
        <f>IF(L117="Nonsmoker",VLOOKUP(PolicyholdersSimulation!J117,PremiumTable!$M$4:$P$41,4,FALSE),VLOOKUP(PolicyholdersSimulation!J117,PremiumTable!$S$4:$V$41,4,FALSE))</f>
        <v>132.59541289904985</v>
      </c>
    </row>
    <row r="118" spans="1:13" x14ac:dyDescent="0.3">
      <c r="A118">
        <v>93</v>
      </c>
      <c r="B118">
        <v>31</v>
      </c>
      <c r="C118">
        <f t="shared" si="4"/>
        <v>31</v>
      </c>
      <c r="D118">
        <v>0.53136685630531277</v>
      </c>
      <c r="E118" t="str">
        <f t="shared" si="6"/>
        <v>Nonsmoker</v>
      </c>
      <c r="F118">
        <f>IF(E118="Nonsmoker",VLOOKUP(PolicyholdersSimulation!C118,PremiumTable!$A$4:$D$41,4,FALSE),VLOOKUP(PolicyholdersSimulation!C118,PremiumTable!$G$4:$J$41,4,FALSE))</f>
        <v>100.09400993488123</v>
      </c>
      <c r="H118">
        <v>93</v>
      </c>
      <c r="I118">
        <v>25</v>
      </c>
      <c r="J118">
        <f t="shared" si="5"/>
        <v>25</v>
      </c>
      <c r="K118">
        <v>0.99556670640772993</v>
      </c>
      <c r="L118" t="str">
        <f t="shared" si="7"/>
        <v>Nonsmoker</v>
      </c>
      <c r="M118">
        <f>IF(L118="Nonsmoker",VLOOKUP(PolicyholdersSimulation!J118,PremiumTable!$M$4:$P$41,4,FALSE),VLOOKUP(PolicyholdersSimulation!J118,PremiumTable!$S$4:$V$41,4,FALSE))</f>
        <v>78.502715161507126</v>
      </c>
    </row>
    <row r="119" spans="1:13" x14ac:dyDescent="0.3">
      <c r="A119">
        <v>94</v>
      </c>
      <c r="B119">
        <v>34</v>
      </c>
      <c r="C119">
        <f t="shared" si="4"/>
        <v>34</v>
      </c>
      <c r="D119">
        <v>0.34627885314815587</v>
      </c>
      <c r="E119" t="str">
        <f t="shared" si="6"/>
        <v>Nonsmoker</v>
      </c>
      <c r="F119">
        <f>IF(E119="Nonsmoker",VLOOKUP(PolicyholdersSimulation!C119,PremiumTable!$A$4:$D$41,4,FALSE),VLOOKUP(PolicyholdersSimulation!C119,PremiumTable!$G$4:$J$41,4,FALSE))</f>
        <v>113.54812871502432</v>
      </c>
      <c r="H119">
        <v>94</v>
      </c>
      <c r="I119">
        <v>31</v>
      </c>
      <c r="J119">
        <f t="shared" si="5"/>
        <v>31</v>
      </c>
      <c r="K119">
        <v>0.54494977816960011</v>
      </c>
      <c r="L119" t="str">
        <f t="shared" si="7"/>
        <v>Nonsmoker</v>
      </c>
      <c r="M119">
        <f>IF(L119="Nonsmoker",VLOOKUP(PolicyholdersSimulation!J119,PremiumTable!$M$4:$P$41,4,FALSE),VLOOKUP(PolicyholdersSimulation!J119,PremiumTable!$S$4:$V$41,4,FALSE))</f>
        <v>90.615055552142564</v>
      </c>
    </row>
    <row r="120" spans="1:13" x14ac:dyDescent="0.3">
      <c r="A120">
        <v>95</v>
      </c>
      <c r="B120">
        <v>34</v>
      </c>
      <c r="C120">
        <f t="shared" si="4"/>
        <v>34</v>
      </c>
      <c r="D120">
        <v>0.34334476501679578</v>
      </c>
      <c r="E120" t="str">
        <f t="shared" si="6"/>
        <v>Nonsmoker</v>
      </c>
      <c r="F120">
        <f>IF(E120="Nonsmoker",VLOOKUP(PolicyholdersSimulation!C120,PremiumTable!$A$4:$D$41,4,FALSE),VLOOKUP(PolicyholdersSimulation!C120,PremiumTable!$G$4:$J$41,4,FALSE))</f>
        <v>113.54812871502432</v>
      </c>
      <c r="H120">
        <v>95</v>
      </c>
      <c r="I120">
        <v>33</v>
      </c>
      <c r="J120">
        <f t="shared" si="5"/>
        <v>33</v>
      </c>
      <c r="K120">
        <v>0.54179830928912598</v>
      </c>
      <c r="L120" t="str">
        <f t="shared" si="7"/>
        <v>Nonsmoker</v>
      </c>
      <c r="M120">
        <f>IF(L120="Nonsmoker",VLOOKUP(PolicyholdersSimulation!J120,PremiumTable!$M$4:$P$41,4,FALSE),VLOOKUP(PolicyholdersSimulation!J120,PremiumTable!$S$4:$V$41,4,FALSE))</f>
        <v>97.645038306373721</v>
      </c>
    </row>
    <row r="121" spans="1:13" x14ac:dyDescent="0.3">
      <c r="A121">
        <v>96</v>
      </c>
      <c r="B121">
        <v>28</v>
      </c>
      <c r="C121">
        <f t="shared" si="4"/>
        <v>28</v>
      </c>
      <c r="D121">
        <v>0.37780576656650544</v>
      </c>
      <c r="E121" t="str">
        <f t="shared" si="6"/>
        <v>Nonsmoker</v>
      </c>
      <c r="F121">
        <f>IF(E121="Nonsmoker",VLOOKUP(PolicyholdersSimulation!C121,PremiumTable!$A$4:$D$41,4,FALSE),VLOOKUP(PolicyholdersSimulation!C121,PremiumTable!$G$4:$J$41,4,FALSE))</f>
        <v>97.344900542817271</v>
      </c>
      <c r="H121">
        <v>96</v>
      </c>
      <c r="I121">
        <v>30</v>
      </c>
      <c r="J121">
        <f t="shared" si="5"/>
        <v>30</v>
      </c>
      <c r="K121">
        <v>0.86865201988821139</v>
      </c>
      <c r="L121" t="str">
        <f t="shared" si="7"/>
        <v>Nonsmoker</v>
      </c>
      <c r="M121">
        <f>IF(L121="Nonsmoker",VLOOKUP(PolicyholdersSimulation!J121,PremiumTable!$M$4:$P$41,4,FALSE),VLOOKUP(PolicyholdersSimulation!J121,PremiumTable!$S$4:$V$41,4,FALSE))</f>
        <v>86.835735543592065</v>
      </c>
    </row>
    <row r="122" spans="1:13" x14ac:dyDescent="0.3">
      <c r="A122">
        <v>97</v>
      </c>
      <c r="B122">
        <v>44</v>
      </c>
      <c r="C122">
        <f t="shared" si="4"/>
        <v>44</v>
      </c>
      <c r="D122">
        <v>0.26828547044400208</v>
      </c>
      <c r="E122" t="str">
        <f t="shared" si="6"/>
        <v>Nonsmoker</v>
      </c>
      <c r="F122">
        <f>IF(E122="Nonsmoker",VLOOKUP(PolicyholdersSimulation!C122,PremiumTable!$A$4:$D$41,4,FALSE),VLOOKUP(PolicyholdersSimulation!C122,PremiumTable!$G$4:$J$41,4,FALSE))</f>
        <v>199.52896401205433</v>
      </c>
      <c r="H122">
        <v>97</v>
      </c>
      <c r="I122">
        <v>33</v>
      </c>
      <c r="J122">
        <f t="shared" si="5"/>
        <v>33</v>
      </c>
      <c r="K122">
        <v>0.76241276254121659</v>
      </c>
      <c r="L122" t="str">
        <f t="shared" si="7"/>
        <v>Nonsmoker</v>
      </c>
      <c r="M122">
        <f>IF(L122="Nonsmoker",VLOOKUP(PolicyholdersSimulation!J122,PremiumTable!$M$4:$P$41,4,FALSE),VLOOKUP(PolicyholdersSimulation!J122,PremiumTable!$S$4:$V$41,4,FALSE))</f>
        <v>97.645038306373721</v>
      </c>
    </row>
    <row r="123" spans="1:13" x14ac:dyDescent="0.3">
      <c r="A123">
        <v>98</v>
      </c>
      <c r="B123">
        <v>37</v>
      </c>
      <c r="C123">
        <f t="shared" si="4"/>
        <v>37</v>
      </c>
      <c r="D123">
        <v>0.33820484081224678</v>
      </c>
      <c r="E123" t="str">
        <f t="shared" si="6"/>
        <v>Nonsmoker</v>
      </c>
      <c r="F123">
        <f>IF(E123="Nonsmoker",VLOOKUP(PolicyholdersSimulation!C123,PremiumTable!$A$4:$D$41,4,FALSE),VLOOKUP(PolicyholdersSimulation!C123,PremiumTable!$G$4:$J$41,4,FALSE))</f>
        <v>131.04073052327638</v>
      </c>
      <c r="H123">
        <v>98</v>
      </c>
      <c r="I123">
        <v>27</v>
      </c>
      <c r="J123">
        <f t="shared" si="5"/>
        <v>27</v>
      </c>
      <c r="K123">
        <v>0.37056663111108257</v>
      </c>
      <c r="L123" t="str">
        <f t="shared" si="7"/>
        <v>Nonsmoker</v>
      </c>
      <c r="M123">
        <f>IF(L123="Nonsmoker",VLOOKUP(PolicyholdersSimulation!J123,PremiumTable!$M$4:$P$41,4,FALSE),VLOOKUP(PolicyholdersSimulation!J123,PremiumTable!$S$4:$V$41,4,FALSE))</f>
        <v>80.233973036058572</v>
      </c>
    </row>
    <row r="124" spans="1:13" x14ac:dyDescent="0.3">
      <c r="A124">
        <v>99</v>
      </c>
      <c r="B124">
        <v>41</v>
      </c>
      <c r="C124">
        <f t="shared" si="4"/>
        <v>41</v>
      </c>
      <c r="D124">
        <v>0.20387527828418017</v>
      </c>
      <c r="E124" t="str">
        <f t="shared" si="6"/>
        <v>Nonsmoker</v>
      </c>
      <c r="F124">
        <f>IF(E124="Nonsmoker",VLOOKUP(PolicyholdersSimulation!C124,PremiumTable!$A$4:$D$41,4,FALSE),VLOOKUP(PolicyholdersSimulation!C124,PremiumTable!$G$4:$J$41,4,FALSE))</f>
        <v>167.10777343661104</v>
      </c>
      <c r="H124">
        <v>99</v>
      </c>
      <c r="I124">
        <v>30</v>
      </c>
      <c r="J124">
        <f t="shared" si="5"/>
        <v>30</v>
      </c>
      <c r="K124">
        <v>0.52452929670338511</v>
      </c>
      <c r="L124" t="str">
        <f t="shared" si="7"/>
        <v>Nonsmoker</v>
      </c>
      <c r="M124">
        <f>IF(L124="Nonsmoker",VLOOKUP(PolicyholdersSimulation!J124,PremiumTable!$M$4:$P$41,4,FALSE),VLOOKUP(PolicyholdersSimulation!J124,PremiumTable!$S$4:$V$41,4,FALSE))</f>
        <v>86.835735543592065</v>
      </c>
    </row>
    <row r="125" spans="1:13" x14ac:dyDescent="0.3">
      <c r="A125">
        <v>100</v>
      </c>
      <c r="B125">
        <v>45</v>
      </c>
      <c r="C125">
        <f t="shared" si="4"/>
        <v>45</v>
      </c>
      <c r="D125">
        <v>0.1673422913219228</v>
      </c>
      <c r="E125" t="str">
        <f t="shared" si="6"/>
        <v>Smoker</v>
      </c>
      <c r="F125">
        <f>IF(E125="Nonsmoker",VLOOKUP(PolicyholdersSimulation!C125,PremiumTable!$A$4:$D$41,4,FALSE),VLOOKUP(PolicyholdersSimulation!C125,PremiumTable!$G$4:$J$41,4,FALSE))</f>
        <v>508.30969025300834</v>
      </c>
      <c r="H125">
        <v>100</v>
      </c>
      <c r="I125">
        <v>30</v>
      </c>
      <c r="J125">
        <f t="shared" si="5"/>
        <v>30</v>
      </c>
      <c r="K125">
        <v>0.49611347425181906</v>
      </c>
      <c r="L125" t="str">
        <f t="shared" si="7"/>
        <v>Nonsmoker</v>
      </c>
      <c r="M125">
        <f>IF(L125="Nonsmoker",VLOOKUP(PolicyholdersSimulation!J125,PremiumTable!$M$4:$P$41,4,FALSE),VLOOKUP(PolicyholdersSimulation!J125,PremiumTable!$S$4:$V$41,4,FALSE))</f>
        <v>86.835735543592065</v>
      </c>
    </row>
    <row r="126" spans="1:13" x14ac:dyDescent="0.3">
      <c r="A126">
        <v>101</v>
      </c>
      <c r="B126">
        <v>39</v>
      </c>
      <c r="C126">
        <f t="shared" si="4"/>
        <v>39</v>
      </c>
      <c r="D126">
        <v>0.9210725930841156</v>
      </c>
      <c r="E126" t="str">
        <f t="shared" si="6"/>
        <v>Nonsmoker</v>
      </c>
      <c r="F126">
        <f>IF(E126="Nonsmoker",VLOOKUP(PolicyholdersSimulation!C126,PremiumTable!$A$4:$D$41,4,FALSE),VLOOKUP(PolicyholdersSimulation!C126,PremiumTable!$G$4:$J$41,4,FALSE))</f>
        <v>147.47819581803472</v>
      </c>
      <c r="H126">
        <v>101</v>
      </c>
      <c r="I126">
        <v>32</v>
      </c>
      <c r="J126">
        <f t="shared" si="5"/>
        <v>32</v>
      </c>
      <c r="K126">
        <v>0.80851312135179321</v>
      </c>
      <c r="L126" t="str">
        <f t="shared" si="7"/>
        <v>Nonsmoker</v>
      </c>
      <c r="M126">
        <f>IF(L126="Nonsmoker",VLOOKUP(PolicyholdersSimulation!J126,PremiumTable!$M$4:$P$41,4,FALSE),VLOOKUP(PolicyholdersSimulation!J126,PremiumTable!$S$4:$V$41,4,FALSE))</f>
        <v>93.792888886888633</v>
      </c>
    </row>
    <row r="127" spans="1:13" x14ac:dyDescent="0.3">
      <c r="A127">
        <v>102</v>
      </c>
      <c r="B127">
        <v>43</v>
      </c>
      <c r="C127">
        <f t="shared" si="4"/>
        <v>43</v>
      </c>
      <c r="D127">
        <v>0.20633769770148935</v>
      </c>
      <c r="E127" t="str">
        <f t="shared" si="6"/>
        <v>Nonsmoker</v>
      </c>
      <c r="F127">
        <f>IF(E127="Nonsmoker",VLOOKUP(PolicyholdersSimulation!C127,PremiumTable!$A$4:$D$41,4,FALSE),VLOOKUP(PolicyholdersSimulation!C127,PremiumTable!$G$4:$J$41,4,FALSE))</f>
        <v>187.89384537033465</v>
      </c>
      <c r="H127">
        <v>102</v>
      </c>
      <c r="I127">
        <v>34</v>
      </c>
      <c r="J127">
        <f t="shared" si="5"/>
        <v>34</v>
      </c>
      <c r="K127">
        <v>0.13547765608700812</v>
      </c>
      <c r="L127" t="str">
        <f t="shared" si="7"/>
        <v>Smoker</v>
      </c>
      <c r="M127">
        <f>IF(L127="Nonsmoker",VLOOKUP(PolicyholdersSimulation!J127,PremiumTable!$M$4:$P$41,4,FALSE),VLOOKUP(PolicyholdersSimulation!J127,PremiumTable!$S$4:$V$41,4,FALSE))</f>
        <v>185.08354022082776</v>
      </c>
    </row>
    <row r="128" spans="1:13" x14ac:dyDescent="0.3">
      <c r="A128">
        <v>103</v>
      </c>
      <c r="B128">
        <v>37</v>
      </c>
      <c r="C128">
        <f t="shared" si="4"/>
        <v>37</v>
      </c>
      <c r="D128">
        <v>0.41646501029520921</v>
      </c>
      <c r="E128" t="str">
        <f t="shared" si="6"/>
        <v>Nonsmoker</v>
      </c>
      <c r="F128">
        <f>IF(E128="Nonsmoker",VLOOKUP(PolicyholdersSimulation!C128,PremiumTable!$A$4:$D$41,4,FALSE),VLOOKUP(PolicyholdersSimulation!C128,PremiumTable!$G$4:$J$41,4,FALSE))</f>
        <v>131.04073052327638</v>
      </c>
      <c r="H128">
        <v>103</v>
      </c>
      <c r="I128">
        <v>32</v>
      </c>
      <c r="J128">
        <f t="shared" si="5"/>
        <v>32</v>
      </c>
      <c r="K128">
        <v>0.25718525254269509</v>
      </c>
      <c r="L128" t="str">
        <f t="shared" si="7"/>
        <v>Nonsmoker</v>
      </c>
      <c r="M128">
        <f>IF(L128="Nonsmoker",VLOOKUP(PolicyholdersSimulation!J128,PremiumTable!$M$4:$P$41,4,FALSE),VLOOKUP(PolicyholdersSimulation!J128,PremiumTable!$S$4:$V$41,4,FALSE))</f>
        <v>93.792888886888633</v>
      </c>
    </row>
    <row r="129" spans="1:13" x14ac:dyDescent="0.3">
      <c r="A129">
        <v>104</v>
      </c>
      <c r="B129">
        <v>22</v>
      </c>
      <c r="C129">
        <f t="shared" si="4"/>
        <v>22</v>
      </c>
      <c r="D129">
        <v>0.34027319057666527</v>
      </c>
      <c r="E129" t="str">
        <f t="shared" si="6"/>
        <v>Nonsmoker</v>
      </c>
      <c r="F129">
        <f>IF(E129="Nonsmoker",VLOOKUP(PolicyholdersSimulation!C129,PremiumTable!$A$4:$D$41,4,FALSE),VLOOKUP(PolicyholdersSimulation!C129,PremiumTable!$G$4:$J$41,4,FALSE))</f>
        <v>114.04255679466463</v>
      </c>
      <c r="H129">
        <v>104</v>
      </c>
      <c r="I129">
        <v>19</v>
      </c>
      <c r="J129">
        <f t="shared" si="5"/>
        <v>19</v>
      </c>
      <c r="K129">
        <v>0.24770168657833103</v>
      </c>
      <c r="L129" t="str">
        <f t="shared" si="7"/>
        <v>Nonsmoker</v>
      </c>
      <c r="M129">
        <f>IF(L129="Nonsmoker",VLOOKUP(PolicyholdersSimulation!J129,PremiumTable!$M$4:$P$41,4,FALSE),VLOOKUP(PolicyholdersSimulation!J129,PremiumTable!$S$4:$V$41,4,FALSE))</f>
        <v>90.499790981431659</v>
      </c>
    </row>
    <row r="130" spans="1:13" x14ac:dyDescent="0.3">
      <c r="A130">
        <v>105</v>
      </c>
      <c r="B130">
        <v>30</v>
      </c>
      <c r="C130">
        <f t="shared" si="4"/>
        <v>30</v>
      </c>
      <c r="D130">
        <v>0.21438059048189806</v>
      </c>
      <c r="E130" t="str">
        <f t="shared" si="6"/>
        <v>Nonsmoker</v>
      </c>
      <c r="F130">
        <f>IF(E130="Nonsmoker",VLOOKUP(PolicyholdersSimulation!C130,PremiumTable!$A$4:$D$41,4,FALSE),VLOOKUP(PolicyholdersSimulation!C130,PremiumTable!$G$4:$J$41,4,FALSE))</f>
        <v>98.268933119823288</v>
      </c>
      <c r="H130">
        <v>105</v>
      </c>
      <c r="I130">
        <v>28</v>
      </c>
      <c r="J130">
        <f t="shared" si="5"/>
        <v>28</v>
      </c>
      <c r="K130">
        <v>0.28336481751810683</v>
      </c>
      <c r="L130" t="str">
        <f t="shared" si="7"/>
        <v>Nonsmoker</v>
      </c>
      <c r="M130">
        <f>IF(L130="Nonsmoker",VLOOKUP(PolicyholdersSimulation!J130,PremiumTable!$M$4:$P$41,4,FALSE),VLOOKUP(PolicyholdersSimulation!J130,PremiumTable!$S$4:$V$41,4,FALSE))</f>
        <v>81.666348165376135</v>
      </c>
    </row>
    <row r="131" spans="1:13" x14ac:dyDescent="0.3">
      <c r="A131">
        <v>106</v>
      </c>
      <c r="B131">
        <v>39</v>
      </c>
      <c r="C131">
        <f t="shared" si="4"/>
        <v>39</v>
      </c>
      <c r="D131">
        <v>0.8235883163495723</v>
      </c>
      <c r="E131" t="str">
        <f t="shared" si="6"/>
        <v>Nonsmoker</v>
      </c>
      <c r="F131">
        <f>IF(E131="Nonsmoker",VLOOKUP(PolicyholdersSimulation!C131,PremiumTable!$A$4:$D$41,4,FALSE),VLOOKUP(PolicyholdersSimulation!C131,PremiumTable!$G$4:$J$41,4,FALSE))</f>
        <v>147.47819581803472</v>
      </c>
      <c r="H131">
        <v>106</v>
      </c>
      <c r="I131">
        <v>28</v>
      </c>
      <c r="J131">
        <f t="shared" si="5"/>
        <v>28</v>
      </c>
      <c r="K131">
        <v>0.22271303028922396</v>
      </c>
      <c r="L131" t="str">
        <f t="shared" si="7"/>
        <v>Nonsmoker</v>
      </c>
      <c r="M131">
        <f>IF(L131="Nonsmoker",VLOOKUP(PolicyholdersSimulation!J131,PremiumTable!$M$4:$P$41,4,FALSE),VLOOKUP(PolicyholdersSimulation!J131,PremiumTable!$S$4:$V$41,4,FALSE))</f>
        <v>81.666348165376135</v>
      </c>
    </row>
    <row r="132" spans="1:13" x14ac:dyDescent="0.3">
      <c r="A132">
        <v>107</v>
      </c>
      <c r="B132">
        <v>40</v>
      </c>
      <c r="C132">
        <f t="shared" si="4"/>
        <v>40</v>
      </c>
      <c r="D132">
        <v>0.57785140000831858</v>
      </c>
      <c r="E132" t="str">
        <f t="shared" si="6"/>
        <v>Nonsmoker</v>
      </c>
      <c r="F132">
        <f>IF(E132="Nonsmoker",VLOOKUP(PolicyholdersSimulation!C132,PremiumTable!$A$4:$D$41,4,FALSE),VLOOKUP(PolicyholdersSimulation!C132,PremiumTable!$G$4:$J$41,4,FALSE))</f>
        <v>157.14195579270111</v>
      </c>
      <c r="H132">
        <v>107</v>
      </c>
      <c r="I132">
        <v>34</v>
      </c>
      <c r="J132">
        <f t="shared" si="5"/>
        <v>34</v>
      </c>
      <c r="K132">
        <v>0.33483793303072107</v>
      </c>
      <c r="L132" t="str">
        <f t="shared" si="7"/>
        <v>Nonsmoker</v>
      </c>
      <c r="M132">
        <f>IF(L132="Nonsmoker",VLOOKUP(PolicyholdersSimulation!J132,PremiumTable!$M$4:$P$41,4,FALSE),VLOOKUP(PolicyholdersSimulation!J132,PremiumTable!$S$4:$V$41,4,FALSE))</f>
        <v>101.73968585979277</v>
      </c>
    </row>
    <row r="133" spans="1:13" x14ac:dyDescent="0.3">
      <c r="A133">
        <v>108</v>
      </c>
      <c r="B133">
        <v>40</v>
      </c>
      <c r="C133">
        <f t="shared" si="4"/>
        <v>40</v>
      </c>
      <c r="D133">
        <v>0.25004694003675809</v>
      </c>
      <c r="E133" t="str">
        <f t="shared" si="6"/>
        <v>Nonsmoker</v>
      </c>
      <c r="F133">
        <f>IF(E133="Nonsmoker",VLOOKUP(PolicyholdersSimulation!C133,PremiumTable!$A$4:$D$41,4,FALSE),VLOOKUP(PolicyholdersSimulation!C133,PremiumTable!$G$4:$J$41,4,FALSE))</f>
        <v>157.14195579270111</v>
      </c>
      <c r="H133">
        <v>108</v>
      </c>
      <c r="I133">
        <v>29</v>
      </c>
      <c r="J133">
        <f t="shared" si="5"/>
        <v>29</v>
      </c>
      <c r="K133">
        <v>0.48779574080335142</v>
      </c>
      <c r="L133" t="str">
        <f t="shared" si="7"/>
        <v>Nonsmoker</v>
      </c>
      <c r="M133">
        <f>IF(L133="Nonsmoker",VLOOKUP(PolicyholdersSimulation!J133,PremiumTable!$M$4:$P$41,4,FALSE),VLOOKUP(PolicyholdersSimulation!J133,PremiumTable!$S$4:$V$41,4,FALSE))</f>
        <v>84.42413832124069</v>
      </c>
    </row>
    <row r="134" spans="1:13" x14ac:dyDescent="0.3">
      <c r="A134">
        <v>109</v>
      </c>
      <c r="B134">
        <v>25</v>
      </c>
      <c r="C134">
        <f t="shared" si="4"/>
        <v>25</v>
      </c>
      <c r="D134">
        <v>0.43259725949424199</v>
      </c>
      <c r="E134" t="str">
        <f t="shared" si="6"/>
        <v>Nonsmoker</v>
      </c>
      <c r="F134">
        <f>IF(E134="Nonsmoker",VLOOKUP(PolicyholdersSimulation!C134,PremiumTable!$A$4:$D$41,4,FALSE),VLOOKUP(PolicyholdersSimulation!C134,PremiumTable!$G$4:$J$41,4,FALSE))</f>
        <v>96.273482117369966</v>
      </c>
      <c r="H134">
        <v>109</v>
      </c>
      <c r="I134">
        <v>31</v>
      </c>
      <c r="J134">
        <f t="shared" si="5"/>
        <v>31</v>
      </c>
      <c r="K134">
        <v>0.28804518967184978</v>
      </c>
      <c r="L134" t="str">
        <f t="shared" si="7"/>
        <v>Nonsmoker</v>
      </c>
      <c r="M134">
        <f>IF(L134="Nonsmoker",VLOOKUP(PolicyholdersSimulation!J134,PremiumTable!$M$4:$P$41,4,FALSE),VLOOKUP(PolicyholdersSimulation!J134,PremiumTable!$S$4:$V$41,4,FALSE))</f>
        <v>90.615055552142564</v>
      </c>
    </row>
    <row r="135" spans="1:13" x14ac:dyDescent="0.3">
      <c r="A135">
        <v>110</v>
      </c>
      <c r="B135">
        <v>31</v>
      </c>
      <c r="C135">
        <f t="shared" si="4"/>
        <v>31</v>
      </c>
      <c r="D135">
        <v>0.58783992489387782</v>
      </c>
      <c r="E135" t="str">
        <f t="shared" si="6"/>
        <v>Nonsmoker</v>
      </c>
      <c r="F135">
        <f>IF(E135="Nonsmoker",VLOOKUP(PolicyholdersSimulation!C135,PremiumTable!$A$4:$D$41,4,FALSE),VLOOKUP(PolicyholdersSimulation!C135,PremiumTable!$G$4:$J$41,4,FALSE))</f>
        <v>100.09400993488123</v>
      </c>
      <c r="H135">
        <v>110</v>
      </c>
      <c r="I135">
        <v>32</v>
      </c>
      <c r="J135">
        <f t="shared" si="5"/>
        <v>32</v>
      </c>
      <c r="K135">
        <v>0.84913483928073108</v>
      </c>
      <c r="L135" t="str">
        <f t="shared" si="7"/>
        <v>Nonsmoker</v>
      </c>
      <c r="M135">
        <f>IF(L135="Nonsmoker",VLOOKUP(PolicyholdersSimulation!J135,PremiumTable!$M$4:$P$41,4,FALSE),VLOOKUP(PolicyholdersSimulation!J135,PremiumTable!$S$4:$V$41,4,FALSE))</f>
        <v>93.792888886888633</v>
      </c>
    </row>
    <row r="136" spans="1:13" x14ac:dyDescent="0.3">
      <c r="A136">
        <v>111</v>
      </c>
      <c r="B136">
        <v>29</v>
      </c>
      <c r="C136">
        <f t="shared" si="4"/>
        <v>29</v>
      </c>
      <c r="D136">
        <v>0.21756213314177908</v>
      </c>
      <c r="E136" t="str">
        <f t="shared" si="6"/>
        <v>Nonsmoker</v>
      </c>
      <c r="F136">
        <f>IF(E136="Nonsmoker",VLOOKUP(PolicyholdersSimulation!C136,PremiumTable!$A$4:$D$41,4,FALSE),VLOOKUP(PolicyholdersSimulation!C136,PremiumTable!$G$4:$J$41,4,FALSE))</f>
        <v>97.884728277152888</v>
      </c>
      <c r="H136">
        <v>111</v>
      </c>
      <c r="I136">
        <v>28</v>
      </c>
      <c r="J136">
        <f t="shared" si="5"/>
        <v>28</v>
      </c>
      <c r="K136">
        <v>0.49677792563303924</v>
      </c>
      <c r="L136" t="str">
        <f t="shared" si="7"/>
        <v>Nonsmoker</v>
      </c>
      <c r="M136">
        <f>IF(L136="Nonsmoker",VLOOKUP(PolicyholdersSimulation!J136,PremiumTable!$M$4:$P$41,4,FALSE),VLOOKUP(PolicyholdersSimulation!J136,PremiumTable!$S$4:$V$41,4,FALSE))</f>
        <v>81.666348165376135</v>
      </c>
    </row>
    <row r="137" spans="1:13" x14ac:dyDescent="0.3">
      <c r="A137">
        <v>112</v>
      </c>
      <c r="B137">
        <v>24</v>
      </c>
      <c r="C137">
        <f t="shared" si="4"/>
        <v>24</v>
      </c>
      <c r="D137">
        <v>2.4910664104488278E-3</v>
      </c>
      <c r="E137" t="str">
        <f t="shared" si="6"/>
        <v>Smoker</v>
      </c>
      <c r="F137">
        <f>IF(E137="Nonsmoker",VLOOKUP(PolicyholdersSimulation!C137,PremiumTable!$A$4:$D$41,4,FALSE),VLOOKUP(PolicyholdersSimulation!C137,PremiumTable!$G$4:$J$41,4,FALSE))</f>
        <v>147.95395845312291</v>
      </c>
      <c r="H137">
        <v>112</v>
      </c>
      <c r="I137">
        <v>20</v>
      </c>
      <c r="J137">
        <f t="shared" si="5"/>
        <v>20</v>
      </c>
      <c r="K137">
        <v>0.4211966488623734</v>
      </c>
      <c r="L137" t="str">
        <f t="shared" si="7"/>
        <v>Nonsmoker</v>
      </c>
      <c r="M137">
        <f>IF(L137="Nonsmoker",VLOOKUP(PolicyholdersSimulation!J137,PremiumTable!$M$4:$P$41,4,FALSE),VLOOKUP(PolicyholdersSimulation!J137,PremiumTable!$S$4:$V$41,4,FALSE))</f>
        <v>86.6404678253936</v>
      </c>
    </row>
    <row r="138" spans="1:13" x14ac:dyDescent="0.3">
      <c r="A138">
        <v>113</v>
      </c>
      <c r="B138">
        <v>39</v>
      </c>
      <c r="C138">
        <f t="shared" si="4"/>
        <v>39</v>
      </c>
      <c r="D138">
        <v>0.46868975056042772</v>
      </c>
      <c r="E138" t="str">
        <f t="shared" si="6"/>
        <v>Nonsmoker</v>
      </c>
      <c r="F138">
        <f>IF(E138="Nonsmoker",VLOOKUP(PolicyholdersSimulation!C138,PremiumTable!$A$4:$D$41,4,FALSE),VLOOKUP(PolicyholdersSimulation!C138,PremiumTable!$G$4:$J$41,4,FALSE))</f>
        <v>147.47819581803472</v>
      </c>
      <c r="H138">
        <v>113</v>
      </c>
      <c r="I138">
        <v>26</v>
      </c>
      <c r="J138">
        <f t="shared" si="5"/>
        <v>26</v>
      </c>
      <c r="K138">
        <v>0.26372231080365116</v>
      </c>
      <c r="L138" t="str">
        <f t="shared" si="7"/>
        <v>Nonsmoker</v>
      </c>
      <c r="M138">
        <f>IF(L138="Nonsmoker",VLOOKUP(PolicyholdersSimulation!J138,PremiumTable!$M$4:$P$41,4,FALSE),VLOOKUP(PolicyholdersSimulation!J138,PremiumTable!$S$4:$V$41,4,FALSE))</f>
        <v>78.904303039663105</v>
      </c>
    </row>
    <row r="139" spans="1:13" x14ac:dyDescent="0.3">
      <c r="A139">
        <v>114</v>
      </c>
      <c r="B139">
        <v>40</v>
      </c>
      <c r="C139">
        <f t="shared" si="4"/>
        <v>40</v>
      </c>
      <c r="D139">
        <v>0.67097028618389754</v>
      </c>
      <c r="E139" t="str">
        <f t="shared" si="6"/>
        <v>Nonsmoker</v>
      </c>
      <c r="F139">
        <f>IF(E139="Nonsmoker",VLOOKUP(PolicyholdersSimulation!C139,PremiumTable!$A$4:$D$41,4,FALSE),VLOOKUP(PolicyholdersSimulation!C139,PremiumTable!$G$4:$J$41,4,FALSE))</f>
        <v>157.14195579270111</v>
      </c>
      <c r="H139">
        <v>114</v>
      </c>
      <c r="I139">
        <v>33</v>
      </c>
      <c r="J139">
        <f t="shared" si="5"/>
        <v>33</v>
      </c>
      <c r="K139">
        <v>0.6699079221981068</v>
      </c>
      <c r="L139" t="str">
        <f t="shared" si="7"/>
        <v>Nonsmoker</v>
      </c>
      <c r="M139">
        <f>IF(L139="Nonsmoker",VLOOKUP(PolicyholdersSimulation!J139,PremiumTable!$M$4:$P$41,4,FALSE),VLOOKUP(PolicyholdersSimulation!J139,PremiumTable!$S$4:$V$41,4,FALSE))</f>
        <v>97.645038306373721</v>
      </c>
    </row>
    <row r="140" spans="1:13" x14ac:dyDescent="0.3">
      <c r="A140">
        <v>115</v>
      </c>
      <c r="B140">
        <v>34</v>
      </c>
      <c r="C140">
        <f t="shared" si="4"/>
        <v>34</v>
      </c>
      <c r="D140">
        <v>0.69108184818263652</v>
      </c>
      <c r="E140" t="str">
        <f t="shared" si="6"/>
        <v>Nonsmoker</v>
      </c>
      <c r="F140">
        <f>IF(E140="Nonsmoker",VLOOKUP(PolicyholdersSimulation!C140,PremiumTable!$A$4:$D$41,4,FALSE),VLOOKUP(PolicyholdersSimulation!C140,PremiumTable!$G$4:$J$41,4,FALSE))</f>
        <v>113.54812871502432</v>
      </c>
      <c r="H140">
        <v>115</v>
      </c>
      <c r="I140">
        <v>29</v>
      </c>
      <c r="J140">
        <f t="shared" si="5"/>
        <v>29</v>
      </c>
      <c r="K140">
        <v>0.70664050332258521</v>
      </c>
      <c r="L140" t="str">
        <f t="shared" si="7"/>
        <v>Nonsmoker</v>
      </c>
      <c r="M140">
        <f>IF(L140="Nonsmoker",VLOOKUP(PolicyholdersSimulation!J140,PremiumTable!$M$4:$P$41,4,FALSE),VLOOKUP(PolicyholdersSimulation!J140,PremiumTable!$S$4:$V$41,4,FALSE))</f>
        <v>84.42413832124069</v>
      </c>
    </row>
    <row r="141" spans="1:13" x14ac:dyDescent="0.3">
      <c r="A141">
        <v>116</v>
      </c>
      <c r="B141">
        <v>40</v>
      </c>
      <c r="C141">
        <f t="shared" si="4"/>
        <v>40</v>
      </c>
      <c r="D141">
        <v>0.29498957408166437</v>
      </c>
      <c r="E141" t="str">
        <f t="shared" si="6"/>
        <v>Nonsmoker</v>
      </c>
      <c r="F141">
        <f>IF(E141="Nonsmoker",VLOOKUP(PolicyholdersSimulation!C141,PremiumTable!$A$4:$D$41,4,FALSE),VLOOKUP(PolicyholdersSimulation!C141,PremiumTable!$G$4:$J$41,4,FALSE))</f>
        <v>157.14195579270111</v>
      </c>
      <c r="H141">
        <v>116</v>
      </c>
      <c r="I141">
        <v>27</v>
      </c>
      <c r="J141">
        <f t="shared" si="5"/>
        <v>27</v>
      </c>
      <c r="K141">
        <v>0.48983967934918338</v>
      </c>
      <c r="L141" t="str">
        <f t="shared" si="7"/>
        <v>Nonsmoker</v>
      </c>
      <c r="M141">
        <f>IF(L141="Nonsmoker",VLOOKUP(PolicyholdersSimulation!J141,PremiumTable!$M$4:$P$41,4,FALSE),VLOOKUP(PolicyholdersSimulation!J141,PremiumTable!$S$4:$V$41,4,FALSE))</f>
        <v>80.233973036058572</v>
      </c>
    </row>
    <row r="142" spans="1:13" x14ac:dyDescent="0.3">
      <c r="A142">
        <v>117</v>
      </c>
      <c r="B142">
        <v>36</v>
      </c>
      <c r="C142">
        <f t="shared" si="4"/>
        <v>36</v>
      </c>
      <c r="D142">
        <v>0.66332842807946557</v>
      </c>
      <c r="E142" t="str">
        <f t="shared" si="6"/>
        <v>Nonsmoker</v>
      </c>
      <c r="F142">
        <f>IF(E142="Nonsmoker",VLOOKUP(PolicyholdersSimulation!C142,PremiumTable!$A$4:$D$41,4,FALSE),VLOOKUP(PolicyholdersSimulation!C142,PremiumTable!$G$4:$J$41,4,FALSE))</f>
        <v>124.81197180033109</v>
      </c>
      <c r="H142">
        <v>117</v>
      </c>
      <c r="I142">
        <v>28</v>
      </c>
      <c r="J142">
        <f t="shared" si="5"/>
        <v>28</v>
      </c>
      <c r="K142">
        <v>0.19869994616944375</v>
      </c>
      <c r="L142" t="str">
        <f t="shared" si="7"/>
        <v>Smoker</v>
      </c>
      <c r="M142">
        <f>IF(L142="Nonsmoker",VLOOKUP(PolicyholdersSimulation!J142,PremiumTable!$M$4:$P$41,4,FALSE),VLOOKUP(PolicyholdersSimulation!J142,PremiumTable!$S$4:$V$41,4,FALSE))</f>
        <v>123.88486180420303</v>
      </c>
    </row>
    <row r="143" spans="1:13" x14ac:dyDescent="0.3">
      <c r="A143">
        <v>118</v>
      </c>
      <c r="B143">
        <v>42</v>
      </c>
      <c r="C143">
        <f t="shared" si="4"/>
        <v>42</v>
      </c>
      <c r="D143">
        <v>0.51950870259636417</v>
      </c>
      <c r="E143" t="str">
        <f t="shared" si="6"/>
        <v>Nonsmoker</v>
      </c>
      <c r="F143">
        <f>IF(E143="Nonsmoker",VLOOKUP(PolicyholdersSimulation!C143,PremiumTable!$A$4:$D$41,4,FALSE),VLOOKUP(PolicyholdersSimulation!C143,PremiumTable!$G$4:$J$41,4,FALSE))</f>
        <v>177.00343034109287</v>
      </c>
      <c r="H143">
        <v>118</v>
      </c>
      <c r="I143">
        <v>31</v>
      </c>
      <c r="J143">
        <f t="shared" si="5"/>
        <v>31</v>
      </c>
      <c r="K143">
        <v>0.62294947969817105</v>
      </c>
      <c r="L143" t="str">
        <f t="shared" si="7"/>
        <v>Nonsmoker</v>
      </c>
      <c r="M143">
        <f>IF(L143="Nonsmoker",VLOOKUP(PolicyholdersSimulation!J143,PremiumTable!$M$4:$P$41,4,FALSE),VLOOKUP(PolicyholdersSimulation!J143,PremiumTable!$S$4:$V$41,4,FALSE))</f>
        <v>90.615055552142564</v>
      </c>
    </row>
    <row r="144" spans="1:13" x14ac:dyDescent="0.3">
      <c r="A144">
        <v>119</v>
      </c>
      <c r="B144">
        <v>40</v>
      </c>
      <c r="C144">
        <f t="shared" si="4"/>
        <v>40</v>
      </c>
      <c r="D144">
        <v>9.0088694185102125E-2</v>
      </c>
      <c r="E144" t="str">
        <f t="shared" si="6"/>
        <v>Smoker</v>
      </c>
      <c r="F144">
        <f>IF(E144="Nonsmoker",VLOOKUP(PolicyholdersSimulation!C144,PremiumTable!$A$4:$D$41,4,FALSE),VLOOKUP(PolicyholdersSimulation!C144,PremiumTable!$G$4:$J$41,4,FALSE))</f>
        <v>327.89395065214273</v>
      </c>
      <c r="H144">
        <v>119</v>
      </c>
      <c r="I144">
        <v>33</v>
      </c>
      <c r="J144">
        <f t="shared" si="5"/>
        <v>33</v>
      </c>
      <c r="K144">
        <v>0.447332336331831</v>
      </c>
      <c r="L144" t="str">
        <f t="shared" si="7"/>
        <v>Nonsmoker</v>
      </c>
      <c r="M144">
        <f>IF(L144="Nonsmoker",VLOOKUP(PolicyholdersSimulation!J144,PremiumTable!$M$4:$P$41,4,FALSE),VLOOKUP(PolicyholdersSimulation!J144,PremiumTable!$S$4:$V$41,4,FALSE))</f>
        <v>97.645038306373721</v>
      </c>
    </row>
    <row r="145" spans="1:13" x14ac:dyDescent="0.3">
      <c r="A145">
        <v>120</v>
      </c>
      <c r="B145">
        <v>31</v>
      </c>
      <c r="C145">
        <f t="shared" si="4"/>
        <v>31</v>
      </c>
      <c r="D145">
        <v>2.326014831742873E-2</v>
      </c>
      <c r="E145" t="str">
        <f t="shared" si="6"/>
        <v>Smoker</v>
      </c>
      <c r="F145">
        <f>IF(E145="Nonsmoker",VLOOKUP(PolicyholdersSimulation!C145,PremiumTable!$A$4:$D$41,4,FALSE),VLOOKUP(PolicyholdersSimulation!C145,PremiumTable!$G$4:$J$41,4,FALSE))</f>
        <v>188.94899391585412</v>
      </c>
      <c r="H145">
        <v>120</v>
      </c>
      <c r="I145">
        <v>39</v>
      </c>
      <c r="J145">
        <f t="shared" si="5"/>
        <v>39</v>
      </c>
      <c r="K145">
        <v>0.55137878972491705</v>
      </c>
      <c r="L145" t="str">
        <f t="shared" si="7"/>
        <v>Nonsmoker</v>
      </c>
      <c r="M145">
        <f>IF(L145="Nonsmoker",VLOOKUP(PolicyholdersSimulation!J145,PremiumTable!$M$4:$P$41,4,FALSE),VLOOKUP(PolicyholdersSimulation!J145,PremiumTable!$S$4:$V$41,4,FALSE))</f>
        <v>127.51379701253681</v>
      </c>
    </row>
    <row r="146" spans="1:13" x14ac:dyDescent="0.3">
      <c r="A146">
        <v>121</v>
      </c>
      <c r="B146">
        <v>42</v>
      </c>
      <c r="C146">
        <f t="shared" si="4"/>
        <v>42</v>
      </c>
      <c r="D146">
        <v>0.49317870420692622</v>
      </c>
      <c r="E146" t="str">
        <f t="shared" si="6"/>
        <v>Nonsmoker</v>
      </c>
      <c r="F146">
        <f>IF(E146="Nonsmoker",VLOOKUP(PolicyholdersSimulation!C146,PremiumTable!$A$4:$D$41,4,FALSE),VLOOKUP(PolicyholdersSimulation!C146,PremiumTable!$G$4:$J$41,4,FALSE))</f>
        <v>177.00343034109287</v>
      </c>
      <c r="H146">
        <v>121</v>
      </c>
      <c r="I146">
        <v>26</v>
      </c>
      <c r="J146">
        <f t="shared" si="5"/>
        <v>26</v>
      </c>
      <c r="K146">
        <v>0.97387987735947046</v>
      </c>
      <c r="L146" t="str">
        <f t="shared" si="7"/>
        <v>Nonsmoker</v>
      </c>
      <c r="M146">
        <f>IF(L146="Nonsmoker",VLOOKUP(PolicyholdersSimulation!J146,PremiumTable!$M$4:$P$41,4,FALSE),VLOOKUP(PolicyholdersSimulation!J146,PremiumTable!$S$4:$V$41,4,FALSE))</f>
        <v>78.904303039663105</v>
      </c>
    </row>
    <row r="147" spans="1:13" x14ac:dyDescent="0.3">
      <c r="A147">
        <v>122</v>
      </c>
      <c r="B147">
        <v>40</v>
      </c>
      <c r="C147">
        <f t="shared" si="4"/>
        <v>40</v>
      </c>
      <c r="D147">
        <v>0.35854297814247749</v>
      </c>
      <c r="E147" t="str">
        <f t="shared" si="6"/>
        <v>Nonsmoker</v>
      </c>
      <c r="F147">
        <f>IF(E147="Nonsmoker",VLOOKUP(PolicyholdersSimulation!C147,PremiumTable!$A$4:$D$41,4,FALSE),VLOOKUP(PolicyholdersSimulation!C147,PremiumTable!$G$4:$J$41,4,FALSE))</f>
        <v>157.14195579270111</v>
      </c>
      <c r="H147">
        <v>122</v>
      </c>
      <c r="I147">
        <v>32</v>
      </c>
      <c r="J147">
        <f t="shared" si="5"/>
        <v>32</v>
      </c>
      <c r="K147">
        <v>0.78931982476992024</v>
      </c>
      <c r="L147" t="str">
        <f t="shared" si="7"/>
        <v>Nonsmoker</v>
      </c>
      <c r="M147">
        <f>IF(L147="Nonsmoker",VLOOKUP(PolicyholdersSimulation!J147,PremiumTable!$M$4:$P$41,4,FALSE),VLOOKUP(PolicyholdersSimulation!J147,PremiumTable!$S$4:$V$41,4,FALSE))</f>
        <v>93.792888886888633</v>
      </c>
    </row>
    <row r="148" spans="1:13" x14ac:dyDescent="0.3">
      <c r="A148">
        <v>123</v>
      </c>
      <c r="B148">
        <v>33</v>
      </c>
      <c r="C148">
        <f t="shared" si="4"/>
        <v>33</v>
      </c>
      <c r="D148">
        <v>0.49552653305576688</v>
      </c>
      <c r="E148" t="str">
        <f t="shared" si="6"/>
        <v>Nonsmoker</v>
      </c>
      <c r="F148">
        <f>IF(E148="Nonsmoker",VLOOKUP(PolicyholdersSimulation!C148,PremiumTable!$A$4:$D$41,4,FALSE),VLOOKUP(PolicyholdersSimulation!C148,PremiumTable!$G$4:$J$41,4,FALSE))</f>
        <v>108.39931664719025</v>
      </c>
      <c r="H148">
        <v>123</v>
      </c>
      <c r="I148">
        <v>34</v>
      </c>
      <c r="J148">
        <f t="shared" si="5"/>
        <v>34</v>
      </c>
      <c r="K148">
        <v>0.9107976595355235</v>
      </c>
      <c r="L148" t="str">
        <f t="shared" si="7"/>
        <v>Nonsmoker</v>
      </c>
      <c r="M148">
        <f>IF(L148="Nonsmoker",VLOOKUP(PolicyholdersSimulation!J148,PremiumTable!$M$4:$P$41,4,FALSE),VLOOKUP(PolicyholdersSimulation!J148,PremiumTable!$S$4:$V$41,4,FALSE))</f>
        <v>101.73968585979277</v>
      </c>
    </row>
    <row r="149" spans="1:13" x14ac:dyDescent="0.3">
      <c r="A149">
        <v>124</v>
      </c>
      <c r="B149">
        <v>44</v>
      </c>
      <c r="C149">
        <f t="shared" si="4"/>
        <v>44</v>
      </c>
      <c r="D149">
        <v>0.72445103127009314</v>
      </c>
      <c r="E149" t="str">
        <f t="shared" si="6"/>
        <v>Nonsmoker</v>
      </c>
      <c r="F149">
        <f>IF(E149="Nonsmoker",VLOOKUP(PolicyholdersSimulation!C149,PremiumTable!$A$4:$D$41,4,FALSE),VLOOKUP(PolicyholdersSimulation!C149,PremiumTable!$G$4:$J$41,4,FALSE))</f>
        <v>199.52896401205433</v>
      </c>
      <c r="H149">
        <v>124</v>
      </c>
      <c r="I149">
        <v>37</v>
      </c>
      <c r="J149">
        <f t="shared" si="5"/>
        <v>37</v>
      </c>
      <c r="K149">
        <v>0.64717493820688154</v>
      </c>
      <c r="L149" t="str">
        <f t="shared" si="7"/>
        <v>Nonsmoker</v>
      </c>
      <c r="M149">
        <f>IF(L149="Nonsmoker",VLOOKUP(PolicyholdersSimulation!J149,PremiumTable!$M$4:$P$41,4,FALSE),VLOOKUP(PolicyholdersSimulation!J149,PremiumTable!$S$4:$V$41,4,FALSE))</f>
        <v>116.32337590156675</v>
      </c>
    </row>
    <row r="150" spans="1:13" x14ac:dyDescent="0.3">
      <c r="A150">
        <v>125</v>
      </c>
      <c r="B150">
        <v>32</v>
      </c>
      <c r="C150">
        <f t="shared" si="4"/>
        <v>32</v>
      </c>
      <c r="D150">
        <v>0.60551827191200269</v>
      </c>
      <c r="E150" t="str">
        <f t="shared" si="6"/>
        <v>Nonsmoker</v>
      </c>
      <c r="F150">
        <f>IF(E150="Nonsmoker",VLOOKUP(PolicyholdersSimulation!C150,PremiumTable!$A$4:$D$41,4,FALSE),VLOOKUP(PolicyholdersSimulation!C150,PremiumTable!$G$4:$J$41,4,FALSE))</f>
        <v>104.12568156832383</v>
      </c>
      <c r="H150">
        <v>125</v>
      </c>
      <c r="I150">
        <v>23</v>
      </c>
      <c r="J150">
        <f t="shared" si="5"/>
        <v>23</v>
      </c>
      <c r="K150">
        <v>0.35127085066405561</v>
      </c>
      <c r="L150" t="str">
        <f t="shared" si="7"/>
        <v>Nonsmoker</v>
      </c>
      <c r="M150">
        <f>IF(L150="Nonsmoker",VLOOKUP(PolicyholdersSimulation!J150,PremiumTable!$M$4:$P$41,4,FALSE),VLOOKUP(PolicyholdersSimulation!J150,PremiumTable!$S$4:$V$41,4,FALSE))</f>
        <v>80.885782895186097</v>
      </c>
    </row>
    <row r="151" spans="1:13" x14ac:dyDescent="0.3">
      <c r="A151">
        <v>126</v>
      </c>
      <c r="B151">
        <v>33</v>
      </c>
      <c r="C151">
        <f t="shared" si="4"/>
        <v>33</v>
      </c>
      <c r="D151">
        <v>0.89532063760313174</v>
      </c>
      <c r="E151" t="str">
        <f t="shared" si="6"/>
        <v>Nonsmoker</v>
      </c>
      <c r="F151">
        <f>IF(E151="Nonsmoker",VLOOKUP(PolicyholdersSimulation!C151,PremiumTable!$A$4:$D$41,4,FALSE),VLOOKUP(PolicyholdersSimulation!C151,PremiumTable!$G$4:$J$41,4,FALSE))</f>
        <v>108.39931664719025</v>
      </c>
      <c r="H151">
        <v>126</v>
      </c>
      <c r="I151">
        <v>28</v>
      </c>
      <c r="J151">
        <f t="shared" si="5"/>
        <v>28</v>
      </c>
      <c r="K151">
        <v>0.38429503066644366</v>
      </c>
      <c r="L151" t="str">
        <f t="shared" si="7"/>
        <v>Nonsmoker</v>
      </c>
      <c r="M151">
        <f>IF(L151="Nonsmoker",VLOOKUP(PolicyholdersSimulation!J151,PremiumTable!$M$4:$P$41,4,FALSE),VLOOKUP(PolicyholdersSimulation!J151,PremiumTable!$S$4:$V$41,4,FALSE))</f>
        <v>81.666348165376135</v>
      </c>
    </row>
    <row r="152" spans="1:13" x14ac:dyDescent="0.3">
      <c r="A152">
        <v>127</v>
      </c>
      <c r="B152">
        <v>38</v>
      </c>
      <c r="C152">
        <f t="shared" si="4"/>
        <v>38</v>
      </c>
      <c r="D152">
        <v>0.41529846618704602</v>
      </c>
      <c r="E152" t="str">
        <f t="shared" si="6"/>
        <v>Nonsmoker</v>
      </c>
      <c r="F152">
        <f>IF(E152="Nonsmoker",VLOOKUP(PolicyholdersSimulation!C152,PremiumTable!$A$4:$D$41,4,FALSE),VLOOKUP(PolicyholdersSimulation!C152,PremiumTable!$G$4:$J$41,4,FALSE))</f>
        <v>138.40856497239142</v>
      </c>
      <c r="H152">
        <v>127</v>
      </c>
      <c r="I152">
        <v>34</v>
      </c>
      <c r="J152">
        <f t="shared" si="5"/>
        <v>34</v>
      </c>
      <c r="K152">
        <v>0.55952186640071377</v>
      </c>
      <c r="L152" t="str">
        <f t="shared" si="7"/>
        <v>Nonsmoker</v>
      </c>
      <c r="M152">
        <f>IF(L152="Nonsmoker",VLOOKUP(PolicyholdersSimulation!J152,PremiumTable!$M$4:$P$41,4,FALSE),VLOOKUP(PolicyholdersSimulation!J152,PremiumTable!$S$4:$V$41,4,FALSE))</f>
        <v>101.73968585979277</v>
      </c>
    </row>
    <row r="153" spans="1:13" x14ac:dyDescent="0.3">
      <c r="A153">
        <v>128</v>
      </c>
      <c r="B153">
        <v>37</v>
      </c>
      <c r="C153">
        <f t="shared" si="4"/>
        <v>37</v>
      </c>
      <c r="D153">
        <v>0.67709873111911878</v>
      </c>
      <c r="E153" t="str">
        <f t="shared" si="6"/>
        <v>Nonsmoker</v>
      </c>
      <c r="F153">
        <f>IF(E153="Nonsmoker",VLOOKUP(PolicyholdersSimulation!C153,PremiumTable!$A$4:$D$41,4,FALSE),VLOOKUP(PolicyholdersSimulation!C153,PremiumTable!$G$4:$J$41,4,FALSE))</f>
        <v>131.04073052327638</v>
      </c>
      <c r="H153">
        <v>128</v>
      </c>
      <c r="I153">
        <v>31</v>
      </c>
      <c r="J153">
        <f t="shared" si="5"/>
        <v>31</v>
      </c>
      <c r="K153">
        <v>0.56601012334375811</v>
      </c>
      <c r="L153" t="str">
        <f t="shared" si="7"/>
        <v>Nonsmoker</v>
      </c>
      <c r="M153">
        <f>IF(L153="Nonsmoker",VLOOKUP(PolicyholdersSimulation!J153,PremiumTable!$M$4:$P$41,4,FALSE),VLOOKUP(PolicyholdersSimulation!J153,PremiumTable!$S$4:$V$41,4,FALSE))</f>
        <v>90.615055552142564</v>
      </c>
    </row>
    <row r="154" spans="1:13" x14ac:dyDescent="0.3">
      <c r="A154">
        <v>129</v>
      </c>
      <c r="B154">
        <v>32</v>
      </c>
      <c r="C154">
        <f t="shared" ref="C154:C217" si="8">IF(B154&lt;num_min,num_min,IF(B154&gt;num_max,num_max,B154))</f>
        <v>32</v>
      </c>
      <c r="D154">
        <v>0.38899855071232314</v>
      </c>
      <c r="E154" t="str">
        <f t="shared" si="6"/>
        <v>Nonsmoker</v>
      </c>
      <c r="F154">
        <f>IF(E154="Nonsmoker",VLOOKUP(PolicyholdersSimulation!C154,PremiumTable!$A$4:$D$41,4,FALSE),VLOOKUP(PolicyholdersSimulation!C154,PremiumTable!$G$4:$J$41,4,FALSE))</f>
        <v>104.12568156832383</v>
      </c>
      <c r="H154">
        <v>129</v>
      </c>
      <c r="I154">
        <v>33</v>
      </c>
      <c r="J154">
        <f t="shared" ref="J154:J217" si="9">IF(I154&lt;num_min,num_min,IF(I154&gt;num_max,num_max,I154))</f>
        <v>33</v>
      </c>
      <c r="K154">
        <v>0.14888475631521125</v>
      </c>
      <c r="L154" t="str">
        <f t="shared" si="7"/>
        <v>Smoker</v>
      </c>
      <c r="M154">
        <f>IF(L154="Nonsmoker",VLOOKUP(PolicyholdersSimulation!J154,PremiumTable!$M$4:$P$41,4,FALSE),VLOOKUP(PolicyholdersSimulation!J154,PremiumTable!$S$4:$V$41,4,FALSE))</f>
        <v>173.61887833841911</v>
      </c>
    </row>
    <row r="155" spans="1:13" x14ac:dyDescent="0.3">
      <c r="A155">
        <v>130</v>
      </c>
      <c r="B155">
        <v>33</v>
      </c>
      <c r="C155">
        <f t="shared" si="8"/>
        <v>33</v>
      </c>
      <c r="D155">
        <v>0.4484796504091827</v>
      </c>
      <c r="E155" t="str">
        <f t="shared" ref="E155:E218" si="10">IF(D155&lt;=0.2,"Smoker","Nonsmoker")</f>
        <v>Nonsmoker</v>
      </c>
      <c r="F155">
        <f>IF(E155="Nonsmoker",VLOOKUP(PolicyholdersSimulation!C155,PremiumTable!$A$4:$D$41,4,FALSE),VLOOKUP(PolicyholdersSimulation!C155,PremiumTable!$G$4:$J$41,4,FALSE))</f>
        <v>108.39931664719025</v>
      </c>
      <c r="H155">
        <v>130</v>
      </c>
      <c r="I155">
        <v>38</v>
      </c>
      <c r="J155">
        <f t="shared" si="9"/>
        <v>38</v>
      </c>
      <c r="K155">
        <v>0.13536189271675481</v>
      </c>
      <c r="L155" t="str">
        <f t="shared" ref="L155:L218" si="11">IF(K155&lt;=0.2,"Smoker","Nonsmoker")</f>
        <v>Smoker</v>
      </c>
      <c r="M155">
        <f>IF(L155="Nonsmoker",VLOOKUP(PolicyholdersSimulation!J155,PremiumTable!$M$4:$P$41,4,FALSE),VLOOKUP(PolicyholdersSimulation!J155,PremiumTable!$S$4:$V$41,4,FALSE))</f>
        <v>241.50276881704045</v>
      </c>
    </row>
    <row r="156" spans="1:13" x14ac:dyDescent="0.3">
      <c r="A156">
        <v>131</v>
      </c>
      <c r="B156">
        <v>35</v>
      </c>
      <c r="C156">
        <f t="shared" si="8"/>
        <v>35</v>
      </c>
      <c r="D156">
        <v>0.5605089242508563</v>
      </c>
      <c r="E156" t="str">
        <f t="shared" si="10"/>
        <v>Nonsmoker</v>
      </c>
      <c r="F156">
        <f>IF(E156="Nonsmoker",VLOOKUP(PolicyholdersSimulation!C156,PremiumTable!$A$4:$D$41,4,FALSE),VLOOKUP(PolicyholdersSimulation!C156,PremiumTable!$G$4:$J$41,4,FALSE))</f>
        <v>118.66696776486694</v>
      </c>
      <c r="H156">
        <v>131</v>
      </c>
      <c r="I156">
        <v>35</v>
      </c>
      <c r="J156">
        <f t="shared" si="9"/>
        <v>35</v>
      </c>
      <c r="K156">
        <v>0.5858840091970442</v>
      </c>
      <c r="L156" t="str">
        <f t="shared" si="11"/>
        <v>Nonsmoker</v>
      </c>
      <c r="M156">
        <f>IF(L156="Nonsmoker",VLOOKUP(PolicyholdersSimulation!J156,PremiumTable!$M$4:$P$41,4,FALSE),VLOOKUP(PolicyholdersSimulation!J156,PremiumTable!$S$4:$V$41,4,FALSE))</f>
        <v>106.37942043914147</v>
      </c>
    </row>
    <row r="157" spans="1:13" x14ac:dyDescent="0.3">
      <c r="A157">
        <v>132</v>
      </c>
      <c r="B157">
        <v>37</v>
      </c>
      <c r="C157">
        <f t="shared" si="8"/>
        <v>37</v>
      </c>
      <c r="D157">
        <v>0.3133281739131607</v>
      </c>
      <c r="E157" t="str">
        <f t="shared" si="10"/>
        <v>Nonsmoker</v>
      </c>
      <c r="F157">
        <f>IF(E157="Nonsmoker",VLOOKUP(PolicyholdersSimulation!C157,PremiumTable!$A$4:$D$41,4,FALSE),VLOOKUP(PolicyholdersSimulation!C157,PremiumTable!$G$4:$J$41,4,FALSE))</f>
        <v>131.04073052327638</v>
      </c>
      <c r="H157">
        <v>132</v>
      </c>
      <c r="I157">
        <v>34</v>
      </c>
      <c r="J157">
        <f t="shared" si="9"/>
        <v>34</v>
      </c>
      <c r="K157">
        <v>0.41898701292216034</v>
      </c>
      <c r="L157" t="str">
        <f t="shared" si="11"/>
        <v>Nonsmoker</v>
      </c>
      <c r="M157">
        <f>IF(L157="Nonsmoker",VLOOKUP(PolicyholdersSimulation!J157,PremiumTable!$M$4:$P$41,4,FALSE),VLOOKUP(PolicyholdersSimulation!J157,PremiumTable!$S$4:$V$41,4,FALSE))</f>
        <v>101.73968585979277</v>
      </c>
    </row>
    <row r="158" spans="1:13" x14ac:dyDescent="0.3">
      <c r="A158">
        <v>133</v>
      </c>
      <c r="B158">
        <v>37</v>
      </c>
      <c r="C158">
        <f t="shared" si="8"/>
        <v>37</v>
      </c>
      <c r="D158">
        <v>0.97130636310589702</v>
      </c>
      <c r="E158" t="str">
        <f t="shared" si="10"/>
        <v>Nonsmoker</v>
      </c>
      <c r="F158">
        <f>IF(E158="Nonsmoker",VLOOKUP(PolicyholdersSimulation!C158,PremiumTable!$A$4:$D$41,4,FALSE),VLOOKUP(PolicyholdersSimulation!C158,PremiumTable!$G$4:$J$41,4,FALSE))</f>
        <v>131.04073052327638</v>
      </c>
      <c r="H158">
        <v>133</v>
      </c>
      <c r="I158">
        <v>47</v>
      </c>
      <c r="J158">
        <f t="shared" si="9"/>
        <v>47</v>
      </c>
      <c r="K158">
        <v>0.61826693823665091</v>
      </c>
      <c r="L158" t="str">
        <f t="shared" si="11"/>
        <v>Nonsmoker</v>
      </c>
      <c r="M158">
        <f>IF(L158="Nonsmoker",VLOOKUP(PolicyholdersSimulation!J158,PremiumTable!$M$4:$P$41,4,FALSE),VLOOKUP(PolicyholdersSimulation!J158,PremiumTable!$S$4:$V$41,4,FALSE))</f>
        <v>199.62245755640905</v>
      </c>
    </row>
    <row r="159" spans="1:13" x14ac:dyDescent="0.3">
      <c r="A159">
        <v>134</v>
      </c>
      <c r="B159">
        <v>36</v>
      </c>
      <c r="C159">
        <f t="shared" si="8"/>
        <v>36</v>
      </c>
      <c r="D159">
        <v>0.80519748110797307</v>
      </c>
      <c r="E159" t="str">
        <f t="shared" si="10"/>
        <v>Nonsmoker</v>
      </c>
      <c r="F159">
        <f>IF(E159="Nonsmoker",VLOOKUP(PolicyholdersSimulation!C159,PremiumTable!$A$4:$D$41,4,FALSE),VLOOKUP(PolicyholdersSimulation!C159,PremiumTable!$G$4:$J$41,4,FALSE))</f>
        <v>124.81197180033109</v>
      </c>
      <c r="H159">
        <v>134</v>
      </c>
      <c r="I159">
        <v>34</v>
      </c>
      <c r="J159">
        <f t="shared" si="9"/>
        <v>34</v>
      </c>
      <c r="K159">
        <v>0.4333512449945589</v>
      </c>
      <c r="L159" t="str">
        <f t="shared" si="11"/>
        <v>Nonsmoker</v>
      </c>
      <c r="M159">
        <f>IF(L159="Nonsmoker",VLOOKUP(PolicyholdersSimulation!J159,PremiumTable!$M$4:$P$41,4,FALSE),VLOOKUP(PolicyholdersSimulation!J159,PremiumTable!$S$4:$V$41,4,FALSE))</f>
        <v>101.73968585979277</v>
      </c>
    </row>
    <row r="160" spans="1:13" x14ac:dyDescent="0.3">
      <c r="A160">
        <v>135</v>
      </c>
      <c r="B160">
        <v>34</v>
      </c>
      <c r="C160">
        <f t="shared" si="8"/>
        <v>34</v>
      </c>
      <c r="D160">
        <v>0.721374152546993</v>
      </c>
      <c r="E160" t="str">
        <f t="shared" si="10"/>
        <v>Nonsmoker</v>
      </c>
      <c r="F160">
        <f>IF(E160="Nonsmoker",VLOOKUP(PolicyholdersSimulation!C160,PremiumTable!$A$4:$D$41,4,FALSE),VLOOKUP(PolicyholdersSimulation!C160,PremiumTable!$G$4:$J$41,4,FALSE))</f>
        <v>113.54812871502432</v>
      </c>
      <c r="H160">
        <v>135</v>
      </c>
      <c r="I160">
        <v>35</v>
      </c>
      <c r="J160">
        <f t="shared" si="9"/>
        <v>35</v>
      </c>
      <c r="K160">
        <v>3.0863374002913946E-2</v>
      </c>
      <c r="L160" t="str">
        <f t="shared" si="11"/>
        <v>Smoker</v>
      </c>
      <c r="M160">
        <f>IF(L160="Nonsmoker",VLOOKUP(PolicyholdersSimulation!J160,PremiumTable!$M$4:$P$41,4,FALSE),VLOOKUP(PolicyholdersSimulation!J160,PremiumTable!$S$4:$V$41,4,FALSE))</f>
        <v>196.78106952359585</v>
      </c>
    </row>
    <row r="161" spans="1:13" x14ac:dyDescent="0.3">
      <c r="A161">
        <v>136</v>
      </c>
      <c r="B161">
        <v>42</v>
      </c>
      <c r="C161">
        <f t="shared" si="8"/>
        <v>42</v>
      </c>
      <c r="D161">
        <v>0.59464815659160586</v>
      </c>
      <c r="E161" t="str">
        <f t="shared" si="10"/>
        <v>Nonsmoker</v>
      </c>
      <c r="F161">
        <f>IF(E161="Nonsmoker",VLOOKUP(PolicyholdersSimulation!C161,PremiumTable!$A$4:$D$41,4,FALSE),VLOOKUP(PolicyholdersSimulation!C161,PremiumTable!$G$4:$J$41,4,FALSE))</f>
        <v>177.00343034109287</v>
      </c>
      <c r="H161">
        <v>136</v>
      </c>
      <c r="I161">
        <v>28</v>
      </c>
      <c r="J161">
        <f t="shared" si="9"/>
        <v>28</v>
      </c>
      <c r="K161">
        <v>0.91753396394591979</v>
      </c>
      <c r="L161" t="str">
        <f t="shared" si="11"/>
        <v>Nonsmoker</v>
      </c>
      <c r="M161">
        <f>IF(L161="Nonsmoker",VLOOKUP(PolicyholdersSimulation!J161,PremiumTable!$M$4:$P$41,4,FALSE),VLOOKUP(PolicyholdersSimulation!J161,PremiumTable!$S$4:$V$41,4,FALSE))</f>
        <v>81.666348165376135</v>
      </c>
    </row>
    <row r="162" spans="1:13" x14ac:dyDescent="0.3">
      <c r="A162">
        <v>137</v>
      </c>
      <c r="B162">
        <v>36</v>
      </c>
      <c r="C162">
        <f t="shared" si="8"/>
        <v>36</v>
      </c>
      <c r="D162">
        <v>6.3135621382398588E-2</v>
      </c>
      <c r="E162" t="str">
        <f t="shared" si="10"/>
        <v>Smoker</v>
      </c>
      <c r="F162">
        <f>IF(E162="Nonsmoker",VLOOKUP(PolicyholdersSimulation!C162,PremiumTable!$A$4:$D$41,4,FALSE),VLOOKUP(PolicyholdersSimulation!C162,PremiumTable!$G$4:$J$41,4,FALSE))</f>
        <v>249.41246875176387</v>
      </c>
      <c r="H162">
        <v>137</v>
      </c>
      <c r="I162">
        <v>21</v>
      </c>
      <c r="J162">
        <f t="shared" si="9"/>
        <v>21</v>
      </c>
      <c r="K162">
        <v>3.3962416160193687E-2</v>
      </c>
      <c r="L162" t="str">
        <f t="shared" si="11"/>
        <v>Smoker</v>
      </c>
      <c r="M162">
        <f>IF(L162="Nonsmoker",VLOOKUP(PolicyholdersSimulation!J162,PremiumTable!$M$4:$P$41,4,FALSE),VLOOKUP(PolicyholdersSimulation!J162,PremiumTable!$S$4:$V$41,4,FALSE))</f>
        <v>95.204973754286641</v>
      </c>
    </row>
    <row r="163" spans="1:13" x14ac:dyDescent="0.3">
      <c r="A163">
        <v>138</v>
      </c>
      <c r="B163">
        <v>42</v>
      </c>
      <c r="C163">
        <f t="shared" si="8"/>
        <v>42</v>
      </c>
      <c r="D163">
        <v>0.9349536442382993</v>
      </c>
      <c r="E163" t="str">
        <f t="shared" si="10"/>
        <v>Nonsmoker</v>
      </c>
      <c r="F163">
        <f>IF(E163="Nonsmoker",VLOOKUP(PolicyholdersSimulation!C163,PremiumTable!$A$4:$D$41,4,FALSE),VLOOKUP(PolicyholdersSimulation!C163,PremiumTable!$G$4:$J$41,4,FALSE))</f>
        <v>177.00343034109287</v>
      </c>
      <c r="H163">
        <v>138</v>
      </c>
      <c r="I163">
        <v>27</v>
      </c>
      <c r="J163">
        <f t="shared" si="9"/>
        <v>27</v>
      </c>
      <c r="K163">
        <v>0.44771730229687068</v>
      </c>
      <c r="L163" t="str">
        <f t="shared" si="11"/>
        <v>Nonsmoker</v>
      </c>
      <c r="M163">
        <f>IF(L163="Nonsmoker",VLOOKUP(PolicyholdersSimulation!J163,PremiumTable!$M$4:$P$41,4,FALSE),VLOOKUP(PolicyholdersSimulation!J163,PremiumTable!$S$4:$V$41,4,FALSE))</f>
        <v>80.233973036058572</v>
      </c>
    </row>
    <row r="164" spans="1:13" x14ac:dyDescent="0.3">
      <c r="A164">
        <v>139</v>
      </c>
      <c r="B164">
        <v>37</v>
      </c>
      <c r="C164">
        <f t="shared" si="8"/>
        <v>37</v>
      </c>
      <c r="D164">
        <v>0.85251286022172801</v>
      </c>
      <c r="E164" t="str">
        <f t="shared" si="10"/>
        <v>Nonsmoker</v>
      </c>
      <c r="F164">
        <f>IF(E164="Nonsmoker",VLOOKUP(PolicyholdersSimulation!C164,PremiumTable!$A$4:$D$41,4,FALSE),VLOOKUP(PolicyholdersSimulation!C164,PremiumTable!$G$4:$J$41,4,FALSE))</f>
        <v>131.04073052327638</v>
      </c>
      <c r="H164">
        <v>139</v>
      </c>
      <c r="I164">
        <v>22</v>
      </c>
      <c r="J164">
        <f t="shared" si="9"/>
        <v>22</v>
      </c>
      <c r="K164">
        <v>0.66047601372559883</v>
      </c>
      <c r="L164" t="str">
        <f t="shared" si="11"/>
        <v>Nonsmoker</v>
      </c>
      <c r="M164">
        <f>IF(L164="Nonsmoker",VLOOKUP(PolicyholdersSimulation!J164,PremiumTable!$M$4:$P$41,4,FALSE),VLOOKUP(PolicyholdersSimulation!J164,PremiumTable!$S$4:$V$41,4,FALSE))</f>
        <v>81.743813936142374</v>
      </c>
    </row>
    <row r="165" spans="1:13" x14ac:dyDescent="0.3">
      <c r="A165">
        <v>140</v>
      </c>
      <c r="B165">
        <v>37</v>
      </c>
      <c r="C165">
        <f t="shared" si="8"/>
        <v>37</v>
      </c>
      <c r="D165">
        <v>0.61198278226499325</v>
      </c>
      <c r="E165" t="str">
        <f t="shared" si="10"/>
        <v>Nonsmoker</v>
      </c>
      <c r="F165">
        <f>IF(E165="Nonsmoker",VLOOKUP(PolicyholdersSimulation!C165,PremiumTable!$A$4:$D$41,4,FALSE),VLOOKUP(PolicyholdersSimulation!C165,PremiumTable!$G$4:$J$41,4,FALSE))</f>
        <v>131.04073052327638</v>
      </c>
      <c r="H165">
        <v>140</v>
      </c>
      <c r="I165">
        <v>25</v>
      </c>
      <c r="J165">
        <f t="shared" si="9"/>
        <v>25</v>
      </c>
      <c r="K165">
        <v>0.67729902053696889</v>
      </c>
      <c r="L165" t="str">
        <f t="shared" si="11"/>
        <v>Nonsmoker</v>
      </c>
      <c r="M165">
        <f>IF(L165="Nonsmoker",VLOOKUP(PolicyholdersSimulation!J165,PremiumTable!$M$4:$P$41,4,FALSE),VLOOKUP(PolicyholdersSimulation!J165,PremiumTable!$S$4:$V$41,4,FALSE))</f>
        <v>78.502715161507126</v>
      </c>
    </row>
    <row r="166" spans="1:13" x14ac:dyDescent="0.3">
      <c r="A166">
        <v>141</v>
      </c>
      <c r="B166">
        <v>37</v>
      </c>
      <c r="C166">
        <f t="shared" si="8"/>
        <v>37</v>
      </c>
      <c r="D166">
        <v>0.70620680266173985</v>
      </c>
      <c r="E166" t="str">
        <f t="shared" si="10"/>
        <v>Nonsmoker</v>
      </c>
      <c r="F166">
        <f>IF(E166="Nonsmoker",VLOOKUP(PolicyholdersSimulation!C166,PremiumTable!$A$4:$D$41,4,FALSE),VLOOKUP(PolicyholdersSimulation!C166,PremiumTable!$G$4:$J$41,4,FALSE))</f>
        <v>131.04073052327638</v>
      </c>
      <c r="H166">
        <v>141</v>
      </c>
      <c r="I166">
        <v>32</v>
      </c>
      <c r="J166">
        <f t="shared" si="9"/>
        <v>32</v>
      </c>
      <c r="K166">
        <v>0.28871411122176915</v>
      </c>
      <c r="L166" t="str">
        <f t="shared" si="11"/>
        <v>Nonsmoker</v>
      </c>
      <c r="M166">
        <f>IF(L166="Nonsmoker",VLOOKUP(PolicyholdersSimulation!J166,PremiumTable!$M$4:$P$41,4,FALSE),VLOOKUP(PolicyholdersSimulation!J166,PremiumTable!$S$4:$V$41,4,FALSE))</f>
        <v>93.792888886888633</v>
      </c>
    </row>
    <row r="167" spans="1:13" x14ac:dyDescent="0.3">
      <c r="A167">
        <v>142</v>
      </c>
      <c r="B167">
        <v>36</v>
      </c>
      <c r="C167">
        <f t="shared" si="8"/>
        <v>36</v>
      </c>
      <c r="D167">
        <v>0.19181498921643692</v>
      </c>
      <c r="E167" t="str">
        <f t="shared" si="10"/>
        <v>Smoker</v>
      </c>
      <c r="F167">
        <f>IF(E167="Nonsmoker",VLOOKUP(PolicyholdersSimulation!C167,PremiumTable!$A$4:$D$41,4,FALSE),VLOOKUP(PolicyholdersSimulation!C167,PremiumTable!$G$4:$J$41,4,FALSE))</f>
        <v>249.41246875176387</v>
      </c>
      <c r="H167">
        <v>142</v>
      </c>
      <c r="I167">
        <v>25</v>
      </c>
      <c r="J167">
        <f t="shared" si="9"/>
        <v>25</v>
      </c>
      <c r="K167">
        <v>0.20331916816304541</v>
      </c>
      <c r="L167" t="str">
        <f t="shared" si="11"/>
        <v>Nonsmoker</v>
      </c>
      <c r="M167">
        <f>IF(L167="Nonsmoker",VLOOKUP(PolicyholdersSimulation!J167,PremiumTable!$M$4:$P$41,4,FALSE),VLOOKUP(PolicyholdersSimulation!J167,PremiumTable!$S$4:$V$41,4,FALSE))</f>
        <v>78.502715161507126</v>
      </c>
    </row>
    <row r="168" spans="1:13" x14ac:dyDescent="0.3">
      <c r="A168">
        <v>143</v>
      </c>
      <c r="B168">
        <v>42</v>
      </c>
      <c r="C168">
        <f t="shared" si="8"/>
        <v>42</v>
      </c>
      <c r="D168">
        <v>0.67620934731997062</v>
      </c>
      <c r="E168" t="str">
        <f t="shared" si="10"/>
        <v>Nonsmoker</v>
      </c>
      <c r="F168">
        <f>IF(E168="Nonsmoker",VLOOKUP(PolicyholdersSimulation!C168,PremiumTable!$A$4:$D$41,4,FALSE),VLOOKUP(PolicyholdersSimulation!C168,PremiumTable!$G$4:$J$41,4,FALSE))</f>
        <v>177.00343034109287</v>
      </c>
      <c r="H168">
        <v>143</v>
      </c>
      <c r="I168">
        <v>31</v>
      </c>
      <c r="J168">
        <f t="shared" si="9"/>
        <v>31</v>
      </c>
      <c r="K168">
        <v>0.68806552492567719</v>
      </c>
      <c r="L168" t="str">
        <f t="shared" si="11"/>
        <v>Nonsmoker</v>
      </c>
      <c r="M168">
        <f>IF(L168="Nonsmoker",VLOOKUP(PolicyholdersSimulation!J168,PremiumTable!$M$4:$P$41,4,FALSE),VLOOKUP(PolicyholdersSimulation!J168,PremiumTable!$S$4:$V$41,4,FALSE))</f>
        <v>90.615055552142564</v>
      </c>
    </row>
    <row r="169" spans="1:13" x14ac:dyDescent="0.3">
      <c r="A169">
        <v>144</v>
      </c>
      <c r="B169">
        <v>31</v>
      </c>
      <c r="C169">
        <f t="shared" si="8"/>
        <v>31</v>
      </c>
      <c r="D169">
        <v>0.59577827368760783</v>
      </c>
      <c r="E169" t="str">
        <f t="shared" si="10"/>
        <v>Nonsmoker</v>
      </c>
      <c r="F169">
        <f>IF(E169="Nonsmoker",VLOOKUP(PolicyholdersSimulation!C169,PremiumTable!$A$4:$D$41,4,FALSE),VLOOKUP(PolicyholdersSimulation!C169,PremiumTable!$G$4:$J$41,4,FALSE))</f>
        <v>100.09400993488123</v>
      </c>
      <c r="H169">
        <v>144</v>
      </c>
      <c r="I169">
        <v>27</v>
      </c>
      <c r="J169">
        <f t="shared" si="9"/>
        <v>27</v>
      </c>
      <c r="K169">
        <v>0.34811216065671446</v>
      </c>
      <c r="L169" t="str">
        <f t="shared" si="11"/>
        <v>Nonsmoker</v>
      </c>
      <c r="M169">
        <f>IF(L169="Nonsmoker",VLOOKUP(PolicyholdersSimulation!J169,PremiumTable!$M$4:$P$41,4,FALSE),VLOOKUP(PolicyholdersSimulation!J169,PremiumTable!$S$4:$V$41,4,FALSE))</f>
        <v>80.233973036058572</v>
      </c>
    </row>
    <row r="170" spans="1:13" x14ac:dyDescent="0.3">
      <c r="A170">
        <v>145</v>
      </c>
      <c r="B170">
        <v>43</v>
      </c>
      <c r="C170">
        <f t="shared" si="8"/>
        <v>43</v>
      </c>
      <c r="D170">
        <v>0.76685793840875216</v>
      </c>
      <c r="E170" t="str">
        <f t="shared" si="10"/>
        <v>Nonsmoker</v>
      </c>
      <c r="F170">
        <f>IF(E170="Nonsmoker",VLOOKUP(PolicyholdersSimulation!C170,PremiumTable!$A$4:$D$41,4,FALSE),VLOOKUP(PolicyholdersSimulation!C170,PremiumTable!$G$4:$J$41,4,FALSE))</f>
        <v>187.89384537033465</v>
      </c>
      <c r="H170">
        <v>145</v>
      </c>
      <c r="I170">
        <v>25</v>
      </c>
      <c r="J170">
        <f t="shared" si="9"/>
        <v>25</v>
      </c>
      <c r="K170">
        <v>0.31328127949295326</v>
      </c>
      <c r="L170" t="str">
        <f t="shared" si="11"/>
        <v>Nonsmoker</v>
      </c>
      <c r="M170">
        <f>IF(L170="Nonsmoker",VLOOKUP(PolicyholdersSimulation!J170,PremiumTable!$M$4:$P$41,4,FALSE),VLOOKUP(PolicyholdersSimulation!J170,PremiumTable!$S$4:$V$41,4,FALSE))</f>
        <v>78.502715161507126</v>
      </c>
    </row>
    <row r="171" spans="1:13" x14ac:dyDescent="0.3">
      <c r="A171">
        <v>146</v>
      </c>
      <c r="B171">
        <v>40</v>
      </c>
      <c r="C171">
        <f t="shared" si="8"/>
        <v>40</v>
      </c>
      <c r="D171">
        <v>0.80430575554313166</v>
      </c>
      <c r="E171" t="str">
        <f t="shared" si="10"/>
        <v>Nonsmoker</v>
      </c>
      <c r="F171">
        <f>IF(E171="Nonsmoker",VLOOKUP(PolicyholdersSimulation!C171,PremiumTable!$A$4:$D$41,4,FALSE),VLOOKUP(PolicyholdersSimulation!C171,PremiumTable!$G$4:$J$41,4,FALSE))</f>
        <v>157.14195579270111</v>
      </c>
      <c r="H171">
        <v>146</v>
      </c>
      <c r="I171">
        <v>32</v>
      </c>
      <c r="J171">
        <f t="shared" si="9"/>
        <v>32</v>
      </c>
      <c r="K171">
        <v>6.4951044034567751E-2</v>
      </c>
      <c r="L171" t="str">
        <f t="shared" si="11"/>
        <v>Smoker</v>
      </c>
      <c r="M171">
        <f>IF(L171="Nonsmoker",VLOOKUP(PolicyholdersSimulation!J171,PremiumTable!$M$4:$P$41,4,FALSE),VLOOKUP(PolicyholdersSimulation!J171,PremiumTable!$S$4:$V$41,4,FALSE))</f>
        <v>162.75723971023768</v>
      </c>
    </row>
    <row r="172" spans="1:13" x14ac:dyDescent="0.3">
      <c r="A172">
        <v>147</v>
      </c>
      <c r="B172">
        <v>42</v>
      </c>
      <c r="C172">
        <f t="shared" si="8"/>
        <v>42</v>
      </c>
      <c r="D172">
        <v>0.24758099580289938</v>
      </c>
      <c r="E172" t="str">
        <f t="shared" si="10"/>
        <v>Nonsmoker</v>
      </c>
      <c r="F172">
        <f>IF(E172="Nonsmoker",VLOOKUP(PolicyholdersSimulation!C172,PremiumTable!$A$4:$D$41,4,FALSE),VLOOKUP(PolicyholdersSimulation!C172,PremiumTable!$G$4:$J$41,4,FALSE))</f>
        <v>177.00343034109287</v>
      </c>
      <c r="H172">
        <v>147</v>
      </c>
      <c r="I172">
        <v>33</v>
      </c>
      <c r="J172">
        <f t="shared" si="9"/>
        <v>33</v>
      </c>
      <c r="K172">
        <v>0.91349777059277837</v>
      </c>
      <c r="L172" t="str">
        <f t="shared" si="11"/>
        <v>Nonsmoker</v>
      </c>
      <c r="M172">
        <f>IF(L172="Nonsmoker",VLOOKUP(PolicyholdersSimulation!J172,PremiumTable!$M$4:$P$41,4,FALSE),VLOOKUP(PolicyholdersSimulation!J172,PremiumTable!$S$4:$V$41,4,FALSE))</f>
        <v>97.645038306373721</v>
      </c>
    </row>
    <row r="173" spans="1:13" x14ac:dyDescent="0.3">
      <c r="A173">
        <v>148</v>
      </c>
      <c r="B173">
        <v>28</v>
      </c>
      <c r="C173">
        <f t="shared" si="8"/>
        <v>28</v>
      </c>
      <c r="D173">
        <v>0.25262238568021711</v>
      </c>
      <c r="E173" t="str">
        <f t="shared" si="10"/>
        <v>Nonsmoker</v>
      </c>
      <c r="F173">
        <f>IF(E173="Nonsmoker",VLOOKUP(PolicyholdersSimulation!C173,PremiumTable!$A$4:$D$41,4,FALSE),VLOOKUP(PolicyholdersSimulation!C173,PremiumTable!$G$4:$J$41,4,FALSE))</f>
        <v>97.344900542817271</v>
      </c>
      <c r="H173">
        <v>148</v>
      </c>
      <c r="I173">
        <v>37</v>
      </c>
      <c r="J173">
        <f t="shared" si="9"/>
        <v>37</v>
      </c>
      <c r="K173">
        <v>0.96341367981546333</v>
      </c>
      <c r="L173" t="str">
        <f t="shared" si="11"/>
        <v>Nonsmoker</v>
      </c>
      <c r="M173">
        <f>IF(L173="Nonsmoker",VLOOKUP(PolicyholdersSimulation!J173,PremiumTable!$M$4:$P$41,4,FALSE),VLOOKUP(PolicyholdersSimulation!J173,PremiumTable!$S$4:$V$41,4,FALSE))</f>
        <v>116.32337590156675</v>
      </c>
    </row>
    <row r="174" spans="1:13" x14ac:dyDescent="0.3">
      <c r="A174">
        <v>149</v>
      </c>
      <c r="B174">
        <v>35</v>
      </c>
      <c r="C174">
        <f t="shared" si="8"/>
        <v>35</v>
      </c>
      <c r="D174">
        <v>0.33442299546231025</v>
      </c>
      <c r="E174" t="str">
        <f t="shared" si="10"/>
        <v>Nonsmoker</v>
      </c>
      <c r="F174">
        <f>IF(E174="Nonsmoker",VLOOKUP(PolicyholdersSimulation!C174,PremiumTable!$A$4:$D$41,4,FALSE),VLOOKUP(PolicyholdersSimulation!C174,PremiumTable!$G$4:$J$41,4,FALSE))</f>
        <v>118.66696776486694</v>
      </c>
      <c r="H174">
        <v>149</v>
      </c>
      <c r="I174">
        <v>26</v>
      </c>
      <c r="J174">
        <f t="shared" si="9"/>
        <v>26</v>
      </c>
      <c r="K174">
        <v>0.38068027562091589</v>
      </c>
      <c r="L174" t="str">
        <f t="shared" si="11"/>
        <v>Nonsmoker</v>
      </c>
      <c r="M174">
        <f>IF(L174="Nonsmoker",VLOOKUP(PolicyholdersSimulation!J174,PremiumTable!$M$4:$P$41,4,FALSE),VLOOKUP(PolicyholdersSimulation!J174,PremiumTable!$S$4:$V$41,4,FALSE))</f>
        <v>78.904303039663105</v>
      </c>
    </row>
    <row r="175" spans="1:13" x14ac:dyDescent="0.3">
      <c r="A175">
        <v>150</v>
      </c>
      <c r="B175">
        <v>26</v>
      </c>
      <c r="C175">
        <f t="shared" si="8"/>
        <v>26</v>
      </c>
      <c r="D175">
        <v>0.99159424447747035</v>
      </c>
      <c r="E175" t="str">
        <f t="shared" si="10"/>
        <v>Nonsmoker</v>
      </c>
      <c r="F175">
        <f>IF(E175="Nonsmoker",VLOOKUP(PolicyholdersSimulation!C175,PremiumTable!$A$4:$D$41,4,FALSE),VLOOKUP(PolicyholdersSimulation!C175,PremiumTable!$G$4:$J$41,4,FALSE))</f>
        <v>94.730386259075559</v>
      </c>
      <c r="H175">
        <v>150</v>
      </c>
      <c r="I175">
        <v>19</v>
      </c>
      <c r="J175">
        <f t="shared" si="9"/>
        <v>19</v>
      </c>
      <c r="K175">
        <v>0.11359806516733462</v>
      </c>
      <c r="L175" t="str">
        <f t="shared" si="11"/>
        <v>Smoker</v>
      </c>
      <c r="M175">
        <f>IF(L175="Nonsmoker",VLOOKUP(PolicyholdersSimulation!J175,PremiumTable!$M$4:$P$41,4,FALSE),VLOOKUP(PolicyholdersSimulation!J175,PremiumTable!$S$4:$V$41,4,FALSE))</f>
        <v>97.105882020002767</v>
      </c>
    </row>
    <row r="176" spans="1:13" x14ac:dyDescent="0.3">
      <c r="A176">
        <v>151</v>
      </c>
      <c r="B176">
        <v>42</v>
      </c>
      <c r="C176">
        <f t="shared" si="8"/>
        <v>42</v>
      </c>
      <c r="D176">
        <v>0.25468958414241372</v>
      </c>
      <c r="E176" t="str">
        <f t="shared" si="10"/>
        <v>Nonsmoker</v>
      </c>
      <c r="F176">
        <f>IF(E176="Nonsmoker",VLOOKUP(PolicyholdersSimulation!C176,PremiumTable!$A$4:$D$41,4,FALSE),VLOOKUP(PolicyholdersSimulation!C176,PremiumTable!$G$4:$J$41,4,FALSE))</f>
        <v>177.00343034109287</v>
      </c>
      <c r="H176">
        <v>151</v>
      </c>
      <c r="I176">
        <v>47</v>
      </c>
      <c r="J176">
        <f t="shared" si="9"/>
        <v>47</v>
      </c>
      <c r="K176">
        <v>0.98574247974820839</v>
      </c>
      <c r="L176" t="str">
        <f t="shared" si="11"/>
        <v>Nonsmoker</v>
      </c>
      <c r="M176">
        <f>IF(L176="Nonsmoker",VLOOKUP(PolicyholdersSimulation!J176,PremiumTable!$M$4:$P$41,4,FALSE),VLOOKUP(PolicyholdersSimulation!J176,PremiumTable!$S$4:$V$41,4,FALSE))</f>
        <v>199.62245755640905</v>
      </c>
    </row>
    <row r="177" spans="1:13" x14ac:dyDescent="0.3">
      <c r="A177">
        <v>152</v>
      </c>
      <c r="B177">
        <v>38</v>
      </c>
      <c r="C177">
        <f t="shared" si="8"/>
        <v>38</v>
      </c>
      <c r="D177">
        <v>0.26382265336214761</v>
      </c>
      <c r="E177" t="str">
        <f t="shared" si="10"/>
        <v>Nonsmoker</v>
      </c>
      <c r="F177">
        <f>IF(E177="Nonsmoker",VLOOKUP(PolicyholdersSimulation!C177,PremiumTable!$A$4:$D$41,4,FALSE),VLOOKUP(PolicyholdersSimulation!C177,PremiumTable!$G$4:$J$41,4,FALSE))</f>
        <v>138.40856497239142</v>
      </c>
      <c r="H177">
        <v>152</v>
      </c>
      <c r="I177">
        <v>28</v>
      </c>
      <c r="J177">
        <f t="shared" si="9"/>
        <v>28</v>
      </c>
      <c r="K177">
        <v>0.62342748114280078</v>
      </c>
      <c r="L177" t="str">
        <f t="shared" si="11"/>
        <v>Nonsmoker</v>
      </c>
      <c r="M177">
        <f>IF(L177="Nonsmoker",VLOOKUP(PolicyholdersSimulation!J177,PremiumTable!$M$4:$P$41,4,FALSE),VLOOKUP(PolicyholdersSimulation!J177,PremiumTable!$S$4:$V$41,4,FALSE))</f>
        <v>81.666348165376135</v>
      </c>
    </row>
    <row r="178" spans="1:13" x14ac:dyDescent="0.3">
      <c r="A178">
        <v>153</v>
      </c>
      <c r="B178">
        <v>37</v>
      </c>
      <c r="C178">
        <f t="shared" si="8"/>
        <v>37</v>
      </c>
      <c r="D178">
        <v>0.1574653677643274</v>
      </c>
      <c r="E178" t="str">
        <f t="shared" si="10"/>
        <v>Smoker</v>
      </c>
      <c r="F178">
        <f>IF(E178="Nonsmoker",VLOOKUP(PolicyholdersSimulation!C178,PremiumTable!$A$4:$D$41,4,FALSE),VLOOKUP(PolicyholdersSimulation!C178,PremiumTable!$G$4:$J$41,4,FALSE))</f>
        <v>264.73732833952022</v>
      </c>
      <c r="H178">
        <v>153</v>
      </c>
      <c r="I178">
        <v>32</v>
      </c>
      <c r="J178">
        <f t="shared" si="9"/>
        <v>32</v>
      </c>
      <c r="K178">
        <v>4.2504134272063232E-2</v>
      </c>
      <c r="L178" t="str">
        <f t="shared" si="11"/>
        <v>Smoker</v>
      </c>
      <c r="M178">
        <f>IF(L178="Nonsmoker",VLOOKUP(PolicyholdersSimulation!J178,PremiumTable!$M$4:$P$41,4,FALSE),VLOOKUP(PolicyholdersSimulation!J178,PremiumTable!$S$4:$V$41,4,FALSE))</f>
        <v>162.75723971023768</v>
      </c>
    </row>
    <row r="179" spans="1:13" x14ac:dyDescent="0.3">
      <c r="A179">
        <v>154</v>
      </c>
      <c r="B179">
        <v>35</v>
      </c>
      <c r="C179">
        <f t="shared" si="8"/>
        <v>35</v>
      </c>
      <c r="D179">
        <v>0.27291097700589084</v>
      </c>
      <c r="E179" t="str">
        <f t="shared" si="10"/>
        <v>Nonsmoker</v>
      </c>
      <c r="F179">
        <f>IF(E179="Nonsmoker",VLOOKUP(PolicyholdersSimulation!C179,PremiumTable!$A$4:$D$41,4,FALSE),VLOOKUP(PolicyholdersSimulation!C179,PremiumTable!$G$4:$J$41,4,FALSE))</f>
        <v>118.66696776486694</v>
      </c>
      <c r="H179">
        <v>154</v>
      </c>
      <c r="I179">
        <v>28</v>
      </c>
      <c r="J179">
        <f t="shared" si="9"/>
        <v>28</v>
      </c>
      <c r="K179">
        <v>0.19436911243086308</v>
      </c>
      <c r="L179" t="str">
        <f t="shared" si="11"/>
        <v>Smoker</v>
      </c>
      <c r="M179">
        <f>IF(L179="Nonsmoker",VLOOKUP(PolicyholdersSimulation!J179,PremiumTable!$M$4:$P$41,4,FALSE),VLOOKUP(PolicyholdersSimulation!J179,PremiumTable!$S$4:$V$41,4,FALSE))</f>
        <v>123.88486180420303</v>
      </c>
    </row>
    <row r="180" spans="1:13" x14ac:dyDescent="0.3">
      <c r="A180">
        <v>155</v>
      </c>
      <c r="B180">
        <v>37</v>
      </c>
      <c r="C180">
        <f t="shared" si="8"/>
        <v>37</v>
      </c>
      <c r="D180">
        <v>0.78899492861520881</v>
      </c>
      <c r="E180" t="str">
        <f t="shared" si="10"/>
        <v>Nonsmoker</v>
      </c>
      <c r="F180">
        <f>IF(E180="Nonsmoker",VLOOKUP(PolicyholdersSimulation!C180,PremiumTable!$A$4:$D$41,4,FALSE),VLOOKUP(PolicyholdersSimulation!C180,PremiumTable!$G$4:$J$41,4,FALSE))</f>
        <v>131.04073052327638</v>
      </c>
      <c r="H180">
        <v>155</v>
      </c>
      <c r="I180">
        <v>18</v>
      </c>
      <c r="J180">
        <f t="shared" si="9"/>
        <v>18</v>
      </c>
      <c r="K180">
        <v>0.30949755435377346</v>
      </c>
      <c r="L180" t="str">
        <f t="shared" si="11"/>
        <v>Nonsmoker</v>
      </c>
      <c r="M180">
        <f>IF(L180="Nonsmoker",VLOOKUP(PolicyholdersSimulation!J180,PremiumTable!$M$4:$P$41,4,FALSE),VLOOKUP(PolicyholdersSimulation!J180,PremiumTable!$S$4:$V$41,4,FALSE))</f>
        <v>93.301230978319609</v>
      </c>
    </row>
    <row r="181" spans="1:13" x14ac:dyDescent="0.3">
      <c r="A181">
        <v>156</v>
      </c>
      <c r="B181">
        <v>44</v>
      </c>
      <c r="C181">
        <f t="shared" si="8"/>
        <v>44</v>
      </c>
      <c r="D181">
        <v>0.97440389854323095</v>
      </c>
      <c r="E181" t="str">
        <f t="shared" si="10"/>
        <v>Nonsmoker</v>
      </c>
      <c r="F181">
        <f>IF(E181="Nonsmoker",VLOOKUP(PolicyholdersSimulation!C181,PremiumTable!$A$4:$D$41,4,FALSE),VLOOKUP(PolicyholdersSimulation!C181,PremiumTable!$G$4:$J$41,4,FALSE))</f>
        <v>199.52896401205433</v>
      </c>
      <c r="H181">
        <v>156</v>
      </c>
      <c r="I181">
        <v>24</v>
      </c>
      <c r="J181">
        <f t="shared" si="9"/>
        <v>24</v>
      </c>
      <c r="K181">
        <v>0.27245425352908181</v>
      </c>
      <c r="L181" t="str">
        <f t="shared" si="11"/>
        <v>Nonsmoker</v>
      </c>
      <c r="M181">
        <f>IF(L181="Nonsmoker",VLOOKUP(PolicyholdersSimulation!J181,PremiumTable!$M$4:$P$41,4,FALSE),VLOOKUP(PolicyholdersSimulation!J181,PremiumTable!$S$4:$V$41,4,FALSE))</f>
        <v>79.12344116938408</v>
      </c>
    </row>
    <row r="182" spans="1:13" x14ac:dyDescent="0.3">
      <c r="A182">
        <v>157</v>
      </c>
      <c r="B182">
        <v>26</v>
      </c>
      <c r="C182">
        <f t="shared" si="8"/>
        <v>26</v>
      </c>
      <c r="D182">
        <v>0.82116164819795356</v>
      </c>
      <c r="E182" t="str">
        <f t="shared" si="10"/>
        <v>Nonsmoker</v>
      </c>
      <c r="F182">
        <f>IF(E182="Nonsmoker",VLOOKUP(PolicyholdersSimulation!C182,PremiumTable!$A$4:$D$41,4,FALSE),VLOOKUP(PolicyholdersSimulation!C182,PremiumTable!$G$4:$J$41,4,FALSE))</f>
        <v>94.730386259075559</v>
      </c>
      <c r="H182">
        <v>157</v>
      </c>
      <c r="I182">
        <v>31</v>
      </c>
      <c r="J182">
        <f t="shared" si="9"/>
        <v>31</v>
      </c>
      <c r="K182">
        <v>0.45281564553295395</v>
      </c>
      <c r="L182" t="str">
        <f t="shared" si="11"/>
        <v>Nonsmoker</v>
      </c>
      <c r="M182">
        <f>IF(L182="Nonsmoker",VLOOKUP(PolicyholdersSimulation!J182,PremiumTable!$M$4:$P$41,4,FALSE),VLOOKUP(PolicyholdersSimulation!J182,PremiumTable!$S$4:$V$41,4,FALSE))</f>
        <v>90.615055552142564</v>
      </c>
    </row>
    <row r="183" spans="1:13" x14ac:dyDescent="0.3">
      <c r="A183">
        <v>158</v>
      </c>
      <c r="B183">
        <v>34</v>
      </c>
      <c r="C183">
        <f t="shared" si="8"/>
        <v>34</v>
      </c>
      <c r="D183">
        <v>0.59706643371546941</v>
      </c>
      <c r="E183" t="str">
        <f t="shared" si="10"/>
        <v>Nonsmoker</v>
      </c>
      <c r="F183">
        <f>IF(E183="Nonsmoker",VLOOKUP(PolicyholdersSimulation!C183,PremiumTable!$A$4:$D$41,4,FALSE),VLOOKUP(PolicyholdersSimulation!C183,PremiumTable!$G$4:$J$41,4,FALSE))</f>
        <v>113.54812871502432</v>
      </c>
      <c r="H183">
        <v>158</v>
      </c>
      <c r="I183">
        <v>30</v>
      </c>
      <c r="J183">
        <f t="shared" si="9"/>
        <v>30</v>
      </c>
      <c r="K183">
        <v>0.15298642927647865</v>
      </c>
      <c r="L183" t="str">
        <f t="shared" si="11"/>
        <v>Smoker</v>
      </c>
      <c r="M183">
        <f>IF(L183="Nonsmoker",VLOOKUP(PolicyholdersSimulation!J183,PremiumTable!$M$4:$P$41,4,FALSE),VLOOKUP(PolicyholdersSimulation!J183,PremiumTable!$S$4:$V$41,4,FALSE))</f>
        <v>141.98069535695544</v>
      </c>
    </row>
    <row r="184" spans="1:13" x14ac:dyDescent="0.3">
      <c r="A184">
        <v>159</v>
      </c>
      <c r="B184">
        <v>39</v>
      </c>
      <c r="C184">
        <f t="shared" si="8"/>
        <v>39</v>
      </c>
      <c r="D184">
        <v>8.7417497942106404E-2</v>
      </c>
      <c r="E184" t="str">
        <f t="shared" si="10"/>
        <v>Smoker</v>
      </c>
      <c r="F184">
        <f>IF(E184="Nonsmoker",VLOOKUP(PolicyholdersSimulation!C184,PremiumTable!$A$4:$D$41,4,FALSE),VLOOKUP(PolicyholdersSimulation!C184,PremiumTable!$G$4:$J$41,4,FALSE))</f>
        <v>303.5263187253961</v>
      </c>
      <c r="H184">
        <v>159</v>
      </c>
      <c r="I184">
        <v>43</v>
      </c>
      <c r="J184">
        <f t="shared" si="9"/>
        <v>43</v>
      </c>
      <c r="K184">
        <v>7.9771165194216342E-2</v>
      </c>
      <c r="L184" t="str">
        <f t="shared" si="11"/>
        <v>Smoker</v>
      </c>
      <c r="M184">
        <f>IF(L184="Nonsmoker",VLOOKUP(PolicyholdersSimulation!J184,PremiumTable!$M$4:$P$41,4,FALSE),VLOOKUP(PolicyholdersSimulation!J184,PremiumTable!$S$4:$V$41,4,FALSE))</f>
        <v>352.65373211175597</v>
      </c>
    </row>
    <row r="185" spans="1:13" x14ac:dyDescent="0.3">
      <c r="A185">
        <v>160</v>
      </c>
      <c r="B185">
        <v>30</v>
      </c>
      <c r="C185">
        <f t="shared" si="8"/>
        <v>30</v>
      </c>
      <c r="D185">
        <v>0.81066346619923402</v>
      </c>
      <c r="E185" t="str">
        <f t="shared" si="10"/>
        <v>Nonsmoker</v>
      </c>
      <c r="F185">
        <f>IF(E185="Nonsmoker",VLOOKUP(PolicyholdersSimulation!C185,PremiumTable!$A$4:$D$41,4,FALSE),VLOOKUP(PolicyholdersSimulation!C185,PremiumTable!$G$4:$J$41,4,FALSE))</f>
        <v>98.268933119823288</v>
      </c>
      <c r="H185">
        <v>160</v>
      </c>
      <c r="I185">
        <v>23</v>
      </c>
      <c r="J185">
        <f t="shared" si="9"/>
        <v>23</v>
      </c>
      <c r="K185">
        <v>0.18549041797427479</v>
      </c>
      <c r="L185" t="str">
        <f t="shared" si="11"/>
        <v>Smoker</v>
      </c>
      <c r="M185">
        <f>IF(L185="Nonsmoker",VLOOKUP(PolicyholdersSimulation!J185,PremiumTable!$M$4:$P$41,4,FALSE),VLOOKUP(PolicyholdersSimulation!J185,PremiumTable!$S$4:$V$41,4,FALSE))</f>
        <v>98.548325721117351</v>
      </c>
    </row>
    <row r="186" spans="1:13" x14ac:dyDescent="0.3">
      <c r="A186">
        <v>161</v>
      </c>
      <c r="B186">
        <v>37</v>
      </c>
      <c r="C186">
        <f t="shared" si="8"/>
        <v>37</v>
      </c>
      <c r="D186">
        <v>0.3229176853332697</v>
      </c>
      <c r="E186" t="str">
        <f t="shared" si="10"/>
        <v>Nonsmoker</v>
      </c>
      <c r="F186">
        <f>IF(E186="Nonsmoker",VLOOKUP(PolicyholdersSimulation!C186,PremiumTable!$A$4:$D$41,4,FALSE),VLOOKUP(PolicyholdersSimulation!C186,PremiumTable!$G$4:$J$41,4,FALSE))</f>
        <v>131.04073052327638</v>
      </c>
      <c r="H186">
        <v>161</v>
      </c>
      <c r="I186">
        <v>34</v>
      </c>
      <c r="J186">
        <f t="shared" si="9"/>
        <v>34</v>
      </c>
      <c r="K186">
        <v>0.19274344603207016</v>
      </c>
      <c r="L186" t="str">
        <f t="shared" si="11"/>
        <v>Smoker</v>
      </c>
      <c r="M186">
        <f>IF(L186="Nonsmoker",VLOOKUP(PolicyholdersSimulation!J186,PremiumTable!$M$4:$P$41,4,FALSE),VLOOKUP(PolicyholdersSimulation!J186,PremiumTable!$S$4:$V$41,4,FALSE))</f>
        <v>185.08354022082776</v>
      </c>
    </row>
    <row r="187" spans="1:13" x14ac:dyDescent="0.3">
      <c r="A187">
        <v>162</v>
      </c>
      <c r="B187">
        <v>34</v>
      </c>
      <c r="C187">
        <f t="shared" si="8"/>
        <v>34</v>
      </c>
      <c r="D187">
        <v>0.33866280166105789</v>
      </c>
      <c r="E187" t="str">
        <f t="shared" si="10"/>
        <v>Nonsmoker</v>
      </c>
      <c r="F187">
        <f>IF(E187="Nonsmoker",VLOOKUP(PolicyholdersSimulation!C187,PremiumTable!$A$4:$D$41,4,FALSE),VLOOKUP(PolicyholdersSimulation!C187,PremiumTable!$G$4:$J$41,4,FALSE))</f>
        <v>113.54812871502432</v>
      </c>
      <c r="H187">
        <v>162</v>
      </c>
      <c r="I187">
        <v>25</v>
      </c>
      <c r="J187">
        <f t="shared" si="9"/>
        <v>25</v>
      </c>
      <c r="K187">
        <v>7.731852607635048E-2</v>
      </c>
      <c r="L187" t="str">
        <f t="shared" si="11"/>
        <v>Smoker</v>
      </c>
      <c r="M187">
        <f>IF(L187="Nonsmoker",VLOOKUP(PolicyholdersSimulation!J187,PremiumTable!$M$4:$P$41,4,FALSE),VLOOKUP(PolicyholdersSimulation!J187,PremiumTable!$S$4:$V$41,4,FALSE))</f>
        <v>105.60110967838276</v>
      </c>
    </row>
    <row r="188" spans="1:13" x14ac:dyDescent="0.3">
      <c r="A188">
        <v>163</v>
      </c>
      <c r="B188">
        <v>36</v>
      </c>
      <c r="C188">
        <f t="shared" si="8"/>
        <v>36</v>
      </c>
      <c r="D188">
        <v>0.70594480100081936</v>
      </c>
      <c r="E188" t="str">
        <f t="shared" si="10"/>
        <v>Nonsmoker</v>
      </c>
      <c r="F188">
        <f>IF(E188="Nonsmoker",VLOOKUP(PolicyholdersSimulation!C188,PremiumTable!$A$4:$D$41,4,FALSE),VLOOKUP(PolicyholdersSimulation!C188,PremiumTable!$G$4:$J$41,4,FALSE))</f>
        <v>124.81197180033109</v>
      </c>
      <c r="H188">
        <v>163</v>
      </c>
      <c r="I188">
        <v>24</v>
      </c>
      <c r="J188">
        <f t="shared" si="9"/>
        <v>24</v>
      </c>
      <c r="K188">
        <v>0.50204126577265651</v>
      </c>
      <c r="L188" t="str">
        <f t="shared" si="11"/>
        <v>Nonsmoker</v>
      </c>
      <c r="M188">
        <f>IF(L188="Nonsmoker",VLOOKUP(PolicyholdersSimulation!J188,PremiumTable!$M$4:$P$41,4,FALSE),VLOOKUP(PolicyholdersSimulation!J188,PremiumTable!$S$4:$V$41,4,FALSE))</f>
        <v>79.12344116938408</v>
      </c>
    </row>
    <row r="189" spans="1:13" x14ac:dyDescent="0.3">
      <c r="A189">
        <v>164</v>
      </c>
      <c r="B189">
        <v>30</v>
      </c>
      <c r="C189">
        <f t="shared" si="8"/>
        <v>30</v>
      </c>
      <c r="D189">
        <v>0.68861508256046611</v>
      </c>
      <c r="E189" t="str">
        <f t="shared" si="10"/>
        <v>Nonsmoker</v>
      </c>
      <c r="F189">
        <f>IF(E189="Nonsmoker",VLOOKUP(PolicyholdersSimulation!C189,PremiumTable!$A$4:$D$41,4,FALSE),VLOOKUP(PolicyholdersSimulation!C189,PremiumTable!$G$4:$J$41,4,FALSE))</f>
        <v>98.268933119823288</v>
      </c>
      <c r="H189">
        <v>164</v>
      </c>
      <c r="I189">
        <v>43</v>
      </c>
      <c r="J189">
        <f t="shared" si="9"/>
        <v>43</v>
      </c>
      <c r="K189">
        <v>0.34651884699612867</v>
      </c>
      <c r="L189" t="str">
        <f t="shared" si="11"/>
        <v>Nonsmoker</v>
      </c>
      <c r="M189">
        <f>IF(L189="Nonsmoker",VLOOKUP(PolicyholdersSimulation!J189,PremiumTable!$M$4:$P$41,4,FALSE),VLOOKUP(PolicyholdersSimulation!J189,PremiumTable!$S$4:$V$41,4,FALSE))</f>
        <v>156.7893364099811</v>
      </c>
    </row>
    <row r="190" spans="1:13" x14ac:dyDescent="0.3">
      <c r="A190">
        <v>165</v>
      </c>
      <c r="B190">
        <v>43</v>
      </c>
      <c r="C190">
        <f t="shared" si="8"/>
        <v>43</v>
      </c>
      <c r="D190">
        <v>0.39826168175864396</v>
      </c>
      <c r="E190" t="str">
        <f t="shared" si="10"/>
        <v>Nonsmoker</v>
      </c>
      <c r="F190">
        <f>IF(E190="Nonsmoker",VLOOKUP(PolicyholdersSimulation!C190,PremiumTable!$A$4:$D$41,4,FALSE),VLOOKUP(PolicyholdersSimulation!C190,PremiumTable!$G$4:$J$41,4,FALSE))</f>
        <v>187.89384537033465</v>
      </c>
      <c r="H190">
        <v>165</v>
      </c>
      <c r="I190">
        <v>33</v>
      </c>
      <c r="J190">
        <f t="shared" si="9"/>
        <v>33</v>
      </c>
      <c r="K190">
        <v>0.63256555497520728</v>
      </c>
      <c r="L190" t="str">
        <f t="shared" si="11"/>
        <v>Nonsmoker</v>
      </c>
      <c r="M190">
        <f>IF(L190="Nonsmoker",VLOOKUP(PolicyholdersSimulation!J190,PremiumTable!$M$4:$P$41,4,FALSE),VLOOKUP(PolicyholdersSimulation!J190,PremiumTable!$S$4:$V$41,4,FALSE))</f>
        <v>97.645038306373721</v>
      </c>
    </row>
    <row r="191" spans="1:13" x14ac:dyDescent="0.3">
      <c r="A191">
        <v>166</v>
      </c>
      <c r="B191">
        <v>50</v>
      </c>
      <c r="C191">
        <f t="shared" si="8"/>
        <v>50</v>
      </c>
      <c r="D191">
        <v>0.6932676398397134</v>
      </c>
      <c r="E191" t="str">
        <f t="shared" si="10"/>
        <v>Nonsmoker</v>
      </c>
      <c r="F191">
        <f>IF(E191="Nonsmoker",VLOOKUP(PolicyholdersSimulation!C191,PremiumTable!$A$4:$D$41,4,FALSE),VLOOKUP(PolicyholdersSimulation!C191,PremiumTable!$G$4:$J$41,4,FALSE))</f>
        <v>314.98536897071239</v>
      </c>
      <c r="H191">
        <v>166</v>
      </c>
      <c r="I191">
        <v>36</v>
      </c>
      <c r="J191">
        <f t="shared" si="9"/>
        <v>36</v>
      </c>
      <c r="K191">
        <v>0.61861770484677903</v>
      </c>
      <c r="L191" t="str">
        <f t="shared" si="11"/>
        <v>Nonsmoker</v>
      </c>
      <c r="M191">
        <f>IF(L191="Nonsmoker",VLOOKUP(PolicyholdersSimulation!J191,PremiumTable!$M$4:$P$41,4,FALSE),VLOOKUP(PolicyholdersSimulation!J191,PremiumTable!$S$4:$V$41,4,FALSE))</f>
        <v>111.05506919808718</v>
      </c>
    </row>
    <row r="192" spans="1:13" x14ac:dyDescent="0.3">
      <c r="A192">
        <v>167</v>
      </c>
      <c r="B192">
        <v>35</v>
      </c>
      <c r="C192">
        <f t="shared" si="8"/>
        <v>35</v>
      </c>
      <c r="D192">
        <v>0.8897905092517675</v>
      </c>
      <c r="E192" t="str">
        <f t="shared" si="10"/>
        <v>Nonsmoker</v>
      </c>
      <c r="F192">
        <f>IF(E192="Nonsmoker",VLOOKUP(PolicyholdersSimulation!C192,PremiumTable!$A$4:$D$41,4,FALSE),VLOOKUP(PolicyholdersSimulation!C192,PremiumTable!$G$4:$J$41,4,FALSE))</f>
        <v>118.66696776486694</v>
      </c>
      <c r="H192">
        <v>167</v>
      </c>
      <c r="I192">
        <v>22</v>
      </c>
      <c r="J192">
        <f t="shared" si="9"/>
        <v>22</v>
      </c>
      <c r="K192">
        <v>0.55594978008625362</v>
      </c>
      <c r="L192" t="str">
        <f t="shared" si="11"/>
        <v>Nonsmoker</v>
      </c>
      <c r="M192">
        <f>IF(L192="Nonsmoker",VLOOKUP(PolicyholdersSimulation!J192,PremiumTable!$M$4:$P$41,4,FALSE),VLOOKUP(PolicyholdersSimulation!J192,PremiumTable!$S$4:$V$41,4,FALSE))</f>
        <v>81.743813936142374</v>
      </c>
    </row>
    <row r="193" spans="1:13" x14ac:dyDescent="0.3">
      <c r="A193">
        <v>168</v>
      </c>
      <c r="B193">
        <v>45</v>
      </c>
      <c r="C193">
        <f t="shared" si="8"/>
        <v>45</v>
      </c>
      <c r="D193">
        <v>0.18950690413583871</v>
      </c>
      <c r="E193" t="str">
        <f t="shared" si="10"/>
        <v>Smoker</v>
      </c>
      <c r="F193">
        <f>IF(E193="Nonsmoker",VLOOKUP(PolicyholdersSimulation!C193,PremiumTable!$A$4:$D$41,4,FALSE),VLOOKUP(PolicyholdersSimulation!C193,PremiumTable!$G$4:$J$41,4,FALSE))</f>
        <v>508.30969025300834</v>
      </c>
      <c r="H193">
        <v>168</v>
      </c>
      <c r="I193">
        <v>29</v>
      </c>
      <c r="J193">
        <f t="shared" si="9"/>
        <v>29</v>
      </c>
      <c r="K193">
        <v>4.0749430044492163E-3</v>
      </c>
      <c r="L193" t="str">
        <f t="shared" si="11"/>
        <v>Smoker</v>
      </c>
      <c r="M193">
        <f>IF(L193="Nonsmoker",VLOOKUP(PolicyholdersSimulation!J193,PremiumTable!$M$4:$P$41,4,FALSE),VLOOKUP(PolicyholdersSimulation!J193,PremiumTable!$S$4:$V$41,4,FALSE))</f>
        <v>132.59541289904985</v>
      </c>
    </row>
    <row r="194" spans="1:13" x14ac:dyDescent="0.3">
      <c r="A194">
        <v>169</v>
      </c>
      <c r="B194">
        <v>32</v>
      </c>
      <c r="C194">
        <f t="shared" si="8"/>
        <v>32</v>
      </c>
      <c r="D194">
        <v>0.36777074791577991</v>
      </c>
      <c r="E194" t="str">
        <f t="shared" si="10"/>
        <v>Nonsmoker</v>
      </c>
      <c r="F194">
        <f>IF(E194="Nonsmoker",VLOOKUP(PolicyholdersSimulation!C194,PremiumTable!$A$4:$D$41,4,FALSE),VLOOKUP(PolicyholdersSimulation!C194,PremiumTable!$G$4:$J$41,4,FALSE))</f>
        <v>104.12568156832383</v>
      </c>
      <c r="H194">
        <v>169</v>
      </c>
      <c r="I194">
        <v>18</v>
      </c>
      <c r="J194">
        <f t="shared" si="9"/>
        <v>18</v>
      </c>
      <c r="K194">
        <v>0.55792836168323179</v>
      </c>
      <c r="L194" t="str">
        <f t="shared" si="11"/>
        <v>Nonsmoker</v>
      </c>
      <c r="M194">
        <f>IF(L194="Nonsmoker",VLOOKUP(PolicyholdersSimulation!J194,PremiumTable!$M$4:$P$41,4,FALSE),VLOOKUP(PolicyholdersSimulation!J194,PremiumTable!$S$4:$V$41,4,FALSE))</f>
        <v>93.301230978319609</v>
      </c>
    </row>
    <row r="195" spans="1:13" x14ac:dyDescent="0.3">
      <c r="A195">
        <v>170</v>
      </c>
      <c r="B195">
        <v>50</v>
      </c>
      <c r="C195">
        <f t="shared" si="8"/>
        <v>50</v>
      </c>
      <c r="D195">
        <v>0.69514190706905055</v>
      </c>
      <c r="E195" t="str">
        <f t="shared" si="10"/>
        <v>Nonsmoker</v>
      </c>
      <c r="F195">
        <f>IF(E195="Nonsmoker",VLOOKUP(PolicyholdersSimulation!C195,PremiumTable!$A$4:$D$41,4,FALSE),VLOOKUP(PolicyholdersSimulation!C195,PremiumTable!$G$4:$J$41,4,FALSE))</f>
        <v>314.98536897071239</v>
      </c>
      <c r="H195">
        <v>170</v>
      </c>
      <c r="I195">
        <v>36</v>
      </c>
      <c r="J195">
        <f t="shared" si="9"/>
        <v>36</v>
      </c>
      <c r="K195">
        <v>0.22177481902776974</v>
      </c>
      <c r="L195" t="str">
        <f t="shared" si="11"/>
        <v>Nonsmoker</v>
      </c>
      <c r="M195">
        <f>IF(L195="Nonsmoker",VLOOKUP(PolicyholdersSimulation!J195,PremiumTable!$M$4:$P$41,4,FALSE),VLOOKUP(PolicyholdersSimulation!J195,PremiumTable!$S$4:$V$41,4,FALSE))</f>
        <v>111.05506919808718</v>
      </c>
    </row>
    <row r="196" spans="1:13" x14ac:dyDescent="0.3">
      <c r="A196">
        <v>171</v>
      </c>
      <c r="B196">
        <v>41</v>
      </c>
      <c r="C196">
        <f t="shared" si="8"/>
        <v>41</v>
      </c>
      <c r="D196">
        <v>0.24181652158394285</v>
      </c>
      <c r="E196" t="str">
        <f t="shared" si="10"/>
        <v>Nonsmoker</v>
      </c>
      <c r="F196">
        <f>IF(E196="Nonsmoker",VLOOKUP(PolicyholdersSimulation!C196,PremiumTable!$A$4:$D$41,4,FALSE),VLOOKUP(PolicyholdersSimulation!C196,PremiumTable!$G$4:$J$41,4,FALSE))</f>
        <v>167.10777343661104</v>
      </c>
      <c r="H196">
        <v>171</v>
      </c>
      <c r="I196">
        <v>37</v>
      </c>
      <c r="J196">
        <f t="shared" si="9"/>
        <v>37</v>
      </c>
      <c r="K196">
        <v>0.35795098066356545</v>
      </c>
      <c r="L196" t="str">
        <f t="shared" si="11"/>
        <v>Nonsmoker</v>
      </c>
      <c r="M196">
        <f>IF(L196="Nonsmoker",VLOOKUP(PolicyholdersSimulation!J196,PremiumTable!$M$4:$P$41,4,FALSE),VLOOKUP(PolicyholdersSimulation!J196,PremiumTable!$S$4:$V$41,4,FALSE))</f>
        <v>116.32337590156675</v>
      </c>
    </row>
    <row r="197" spans="1:13" x14ac:dyDescent="0.3">
      <c r="A197">
        <v>172</v>
      </c>
      <c r="B197">
        <v>33</v>
      </c>
      <c r="C197">
        <f t="shared" si="8"/>
        <v>33</v>
      </c>
      <c r="D197">
        <v>0.78984071883932194</v>
      </c>
      <c r="E197" t="str">
        <f t="shared" si="10"/>
        <v>Nonsmoker</v>
      </c>
      <c r="F197">
        <f>IF(E197="Nonsmoker",VLOOKUP(PolicyholdersSimulation!C197,PremiumTable!$A$4:$D$41,4,FALSE),VLOOKUP(PolicyholdersSimulation!C197,PremiumTable!$G$4:$J$41,4,FALSE))</f>
        <v>108.39931664719025</v>
      </c>
      <c r="H197">
        <v>172</v>
      </c>
      <c r="I197">
        <v>32</v>
      </c>
      <c r="J197">
        <f t="shared" si="9"/>
        <v>32</v>
      </c>
      <c r="K197">
        <v>4.8776243006913855E-3</v>
      </c>
      <c r="L197" t="str">
        <f t="shared" si="11"/>
        <v>Smoker</v>
      </c>
      <c r="M197">
        <f>IF(L197="Nonsmoker",VLOOKUP(PolicyholdersSimulation!J197,PremiumTable!$M$4:$P$41,4,FALSE),VLOOKUP(PolicyholdersSimulation!J197,PremiumTable!$S$4:$V$41,4,FALSE))</f>
        <v>162.75723971023768</v>
      </c>
    </row>
    <row r="198" spans="1:13" x14ac:dyDescent="0.3">
      <c r="A198">
        <v>173</v>
      </c>
      <c r="B198">
        <v>39</v>
      </c>
      <c r="C198">
        <f t="shared" si="8"/>
        <v>39</v>
      </c>
      <c r="D198">
        <v>0.13634783331029632</v>
      </c>
      <c r="E198" t="str">
        <f t="shared" si="10"/>
        <v>Smoker</v>
      </c>
      <c r="F198">
        <f>IF(E198="Nonsmoker",VLOOKUP(PolicyholdersSimulation!C198,PremiumTable!$A$4:$D$41,4,FALSE),VLOOKUP(PolicyholdersSimulation!C198,PremiumTable!$G$4:$J$41,4,FALSE))</f>
        <v>303.5263187253961</v>
      </c>
      <c r="H198">
        <v>173</v>
      </c>
      <c r="I198">
        <v>26</v>
      </c>
      <c r="J198">
        <f t="shared" si="9"/>
        <v>26</v>
      </c>
      <c r="K198">
        <v>0.71041572690768884</v>
      </c>
      <c r="L198" t="str">
        <f t="shared" si="11"/>
        <v>Nonsmoker</v>
      </c>
      <c r="M198">
        <f>IF(L198="Nonsmoker",VLOOKUP(PolicyholdersSimulation!J198,PremiumTable!$M$4:$P$41,4,FALSE),VLOOKUP(PolicyholdersSimulation!J198,PremiumTable!$S$4:$V$41,4,FALSE))</f>
        <v>78.904303039663105</v>
      </c>
    </row>
    <row r="199" spans="1:13" x14ac:dyDescent="0.3">
      <c r="A199">
        <v>174</v>
      </c>
      <c r="B199">
        <v>28</v>
      </c>
      <c r="C199">
        <f t="shared" si="8"/>
        <v>28</v>
      </c>
      <c r="D199">
        <v>0.31721476347680289</v>
      </c>
      <c r="E199" t="str">
        <f t="shared" si="10"/>
        <v>Nonsmoker</v>
      </c>
      <c r="F199">
        <f>IF(E199="Nonsmoker",VLOOKUP(PolicyholdersSimulation!C199,PremiumTable!$A$4:$D$41,4,FALSE),VLOOKUP(PolicyholdersSimulation!C199,PremiumTable!$G$4:$J$41,4,FALSE))</f>
        <v>97.344900542817271</v>
      </c>
      <c r="H199">
        <v>174</v>
      </c>
      <c r="I199">
        <v>27</v>
      </c>
      <c r="J199">
        <f t="shared" si="9"/>
        <v>27</v>
      </c>
      <c r="K199">
        <v>6.3909057851730844E-2</v>
      </c>
      <c r="L199" t="str">
        <f t="shared" si="11"/>
        <v>Smoker</v>
      </c>
      <c r="M199">
        <f>IF(L199="Nonsmoker",VLOOKUP(PolicyholdersSimulation!J199,PremiumTable!$M$4:$P$41,4,FALSE),VLOOKUP(PolicyholdersSimulation!J199,PremiumTable!$S$4:$V$41,4,FALSE))</f>
        <v>116.67713821073481</v>
      </c>
    </row>
    <row r="200" spans="1:13" x14ac:dyDescent="0.3">
      <c r="A200">
        <v>175</v>
      </c>
      <c r="B200">
        <v>31</v>
      </c>
      <c r="C200">
        <f t="shared" si="8"/>
        <v>31</v>
      </c>
      <c r="D200">
        <v>0.72458706902875525</v>
      </c>
      <c r="E200" t="str">
        <f t="shared" si="10"/>
        <v>Nonsmoker</v>
      </c>
      <c r="F200">
        <f>IF(E200="Nonsmoker",VLOOKUP(PolicyholdersSimulation!C200,PremiumTable!$A$4:$D$41,4,FALSE),VLOOKUP(PolicyholdersSimulation!C200,PremiumTable!$G$4:$J$41,4,FALSE))</f>
        <v>100.09400993488123</v>
      </c>
      <c r="H200">
        <v>175</v>
      </c>
      <c r="I200">
        <v>24</v>
      </c>
      <c r="J200">
        <f t="shared" si="9"/>
        <v>24</v>
      </c>
      <c r="K200">
        <v>0.74145073978943488</v>
      </c>
      <c r="L200" t="str">
        <f t="shared" si="11"/>
        <v>Nonsmoker</v>
      </c>
      <c r="M200">
        <f>IF(L200="Nonsmoker",VLOOKUP(PolicyholdersSimulation!J200,PremiumTable!$M$4:$P$41,4,FALSE),VLOOKUP(PolicyholdersSimulation!J200,PremiumTable!$S$4:$V$41,4,FALSE))</f>
        <v>79.12344116938408</v>
      </c>
    </row>
    <row r="201" spans="1:13" x14ac:dyDescent="0.3">
      <c r="A201">
        <v>176</v>
      </c>
      <c r="B201">
        <v>43</v>
      </c>
      <c r="C201">
        <f t="shared" si="8"/>
        <v>43</v>
      </c>
      <c r="D201">
        <v>0.44343656787930208</v>
      </c>
      <c r="E201" t="str">
        <f t="shared" si="10"/>
        <v>Nonsmoker</v>
      </c>
      <c r="F201">
        <f>IF(E201="Nonsmoker",VLOOKUP(PolicyholdersSimulation!C201,PremiumTable!$A$4:$D$41,4,FALSE),VLOOKUP(PolicyholdersSimulation!C201,PremiumTable!$G$4:$J$41,4,FALSE))</f>
        <v>187.89384537033465</v>
      </c>
      <c r="H201">
        <v>176</v>
      </c>
      <c r="I201">
        <v>26</v>
      </c>
      <c r="J201">
        <f t="shared" si="9"/>
        <v>26</v>
      </c>
      <c r="K201">
        <v>0.83679353576588666</v>
      </c>
      <c r="L201" t="str">
        <f t="shared" si="11"/>
        <v>Nonsmoker</v>
      </c>
      <c r="M201">
        <f>IF(L201="Nonsmoker",VLOOKUP(PolicyholdersSimulation!J201,PremiumTable!$M$4:$P$41,4,FALSE),VLOOKUP(PolicyholdersSimulation!J201,PremiumTable!$S$4:$V$41,4,FALSE))</f>
        <v>78.904303039663105</v>
      </c>
    </row>
    <row r="202" spans="1:13" x14ac:dyDescent="0.3">
      <c r="A202">
        <v>177</v>
      </c>
      <c r="B202">
        <v>45</v>
      </c>
      <c r="C202">
        <f t="shared" si="8"/>
        <v>45</v>
      </c>
      <c r="D202">
        <v>0.95497651420360197</v>
      </c>
      <c r="E202" t="str">
        <f t="shared" si="10"/>
        <v>Nonsmoker</v>
      </c>
      <c r="F202">
        <f>IF(E202="Nonsmoker",VLOOKUP(PolicyholdersSimulation!C202,PremiumTable!$A$4:$D$41,4,FALSE),VLOOKUP(PolicyholdersSimulation!C202,PremiumTable!$G$4:$J$41,4,FALSE))</f>
        <v>213.66497913765616</v>
      </c>
      <c r="H202">
        <v>177</v>
      </c>
      <c r="I202">
        <v>28</v>
      </c>
      <c r="J202">
        <f t="shared" si="9"/>
        <v>28</v>
      </c>
      <c r="K202">
        <v>0.70274999606779065</v>
      </c>
      <c r="L202" t="str">
        <f t="shared" si="11"/>
        <v>Nonsmoker</v>
      </c>
      <c r="M202">
        <f>IF(L202="Nonsmoker",VLOOKUP(PolicyholdersSimulation!J202,PremiumTable!$M$4:$P$41,4,FALSE),VLOOKUP(PolicyholdersSimulation!J202,PremiumTable!$S$4:$V$41,4,FALSE))</f>
        <v>81.666348165376135</v>
      </c>
    </row>
    <row r="203" spans="1:13" x14ac:dyDescent="0.3">
      <c r="A203">
        <v>178</v>
      </c>
      <c r="B203">
        <v>39</v>
      </c>
      <c r="C203">
        <f t="shared" si="8"/>
        <v>39</v>
      </c>
      <c r="D203">
        <v>0.79988206245098203</v>
      </c>
      <c r="E203" t="str">
        <f t="shared" si="10"/>
        <v>Nonsmoker</v>
      </c>
      <c r="F203">
        <f>IF(E203="Nonsmoker",VLOOKUP(PolicyholdersSimulation!C203,PremiumTable!$A$4:$D$41,4,FALSE),VLOOKUP(PolicyholdersSimulation!C203,PremiumTable!$G$4:$J$41,4,FALSE))</f>
        <v>147.47819581803472</v>
      </c>
      <c r="H203">
        <v>178</v>
      </c>
      <c r="I203">
        <v>32</v>
      </c>
      <c r="J203">
        <f t="shared" si="9"/>
        <v>32</v>
      </c>
      <c r="K203">
        <v>0.3374067775058307</v>
      </c>
      <c r="L203" t="str">
        <f t="shared" si="11"/>
        <v>Nonsmoker</v>
      </c>
      <c r="M203">
        <f>IF(L203="Nonsmoker",VLOOKUP(PolicyholdersSimulation!J203,PremiumTable!$M$4:$P$41,4,FALSE),VLOOKUP(PolicyholdersSimulation!J203,PremiumTable!$S$4:$V$41,4,FALSE))</f>
        <v>93.792888886888633</v>
      </c>
    </row>
    <row r="204" spans="1:13" x14ac:dyDescent="0.3">
      <c r="A204">
        <v>179</v>
      </c>
      <c r="B204">
        <v>23</v>
      </c>
      <c r="C204">
        <f t="shared" si="8"/>
        <v>23</v>
      </c>
      <c r="D204">
        <v>0.50293263336396055</v>
      </c>
      <c r="E204" t="str">
        <f t="shared" si="10"/>
        <v>Nonsmoker</v>
      </c>
      <c r="F204">
        <f>IF(E204="Nonsmoker",VLOOKUP(PolicyholdersSimulation!C204,PremiumTable!$A$4:$D$41,4,FALSE),VLOOKUP(PolicyholdersSimulation!C204,PremiumTable!$G$4:$J$41,4,FALSE))</f>
        <v>105.51305445777562</v>
      </c>
      <c r="H204">
        <v>179</v>
      </c>
      <c r="I204">
        <v>40</v>
      </c>
      <c r="J204">
        <f t="shared" si="9"/>
        <v>40</v>
      </c>
      <c r="K204">
        <v>0.4084479013222454</v>
      </c>
      <c r="L204" t="str">
        <f t="shared" si="11"/>
        <v>Nonsmoker</v>
      </c>
      <c r="M204">
        <f>IF(L204="Nonsmoker",VLOOKUP(PolicyholdersSimulation!J204,PremiumTable!$M$4:$P$41,4,FALSE),VLOOKUP(PolicyholdersSimulation!J204,PremiumTable!$S$4:$V$41,4,FALSE))</f>
        <v>133.66130890410457</v>
      </c>
    </row>
    <row r="205" spans="1:13" x14ac:dyDescent="0.3">
      <c r="A205">
        <v>180</v>
      </c>
      <c r="B205">
        <v>43</v>
      </c>
      <c r="C205">
        <f t="shared" si="8"/>
        <v>43</v>
      </c>
      <c r="D205">
        <v>0.26528100093928475</v>
      </c>
      <c r="E205" t="str">
        <f t="shared" si="10"/>
        <v>Nonsmoker</v>
      </c>
      <c r="F205">
        <f>IF(E205="Nonsmoker",VLOOKUP(PolicyholdersSimulation!C205,PremiumTable!$A$4:$D$41,4,FALSE),VLOOKUP(PolicyholdersSimulation!C205,PremiumTable!$G$4:$J$41,4,FALSE))</f>
        <v>187.89384537033465</v>
      </c>
      <c r="H205">
        <v>180</v>
      </c>
      <c r="I205">
        <v>38</v>
      </c>
      <c r="J205">
        <f t="shared" si="9"/>
        <v>38</v>
      </c>
      <c r="K205">
        <v>0.10149118812991975</v>
      </c>
      <c r="L205" t="str">
        <f t="shared" si="11"/>
        <v>Smoker</v>
      </c>
      <c r="M205">
        <f>IF(L205="Nonsmoker",VLOOKUP(PolicyholdersSimulation!J205,PremiumTable!$M$4:$P$41,4,FALSE),VLOOKUP(PolicyholdersSimulation!J205,PremiumTable!$S$4:$V$41,4,FALSE))</f>
        <v>241.50276881704045</v>
      </c>
    </row>
    <row r="206" spans="1:13" x14ac:dyDescent="0.3">
      <c r="A206">
        <v>181</v>
      </c>
      <c r="B206">
        <v>37</v>
      </c>
      <c r="C206">
        <f t="shared" si="8"/>
        <v>37</v>
      </c>
      <c r="D206">
        <v>0.2077217309294781</v>
      </c>
      <c r="E206" t="str">
        <f t="shared" si="10"/>
        <v>Nonsmoker</v>
      </c>
      <c r="F206">
        <f>IF(E206="Nonsmoker",VLOOKUP(PolicyholdersSimulation!C206,PremiumTable!$A$4:$D$41,4,FALSE),VLOOKUP(PolicyholdersSimulation!C206,PremiumTable!$G$4:$J$41,4,FALSE))</f>
        <v>131.04073052327638</v>
      </c>
      <c r="H206">
        <v>181</v>
      </c>
      <c r="I206">
        <v>24</v>
      </c>
      <c r="J206">
        <f t="shared" si="9"/>
        <v>24</v>
      </c>
      <c r="K206">
        <v>0.37754305736896898</v>
      </c>
      <c r="L206" t="str">
        <f t="shared" si="11"/>
        <v>Nonsmoker</v>
      </c>
      <c r="M206">
        <f>IF(L206="Nonsmoker",VLOOKUP(PolicyholdersSimulation!J206,PremiumTable!$M$4:$P$41,4,FALSE),VLOOKUP(PolicyholdersSimulation!J206,PremiumTable!$S$4:$V$41,4,FALSE))</f>
        <v>79.12344116938408</v>
      </c>
    </row>
    <row r="207" spans="1:13" x14ac:dyDescent="0.3">
      <c r="A207">
        <v>182</v>
      </c>
      <c r="B207">
        <v>47</v>
      </c>
      <c r="C207">
        <f t="shared" si="8"/>
        <v>47</v>
      </c>
      <c r="D207">
        <v>0.92794367239412923</v>
      </c>
      <c r="E207" t="str">
        <f t="shared" si="10"/>
        <v>Nonsmoker</v>
      </c>
      <c r="F207">
        <f>IF(E207="Nonsmoker",VLOOKUP(PolicyholdersSimulation!C207,PremiumTable!$A$4:$D$41,4,FALSE),VLOOKUP(PolicyholdersSimulation!C207,PremiumTable!$G$4:$J$41,4,FALSE))</f>
        <v>248.06108695368769</v>
      </c>
      <c r="H207">
        <v>182</v>
      </c>
      <c r="I207">
        <v>35</v>
      </c>
      <c r="J207">
        <f t="shared" si="9"/>
        <v>35</v>
      </c>
      <c r="K207">
        <v>0.96843917877798646</v>
      </c>
      <c r="L207" t="str">
        <f t="shared" si="11"/>
        <v>Nonsmoker</v>
      </c>
      <c r="M207">
        <f>IF(L207="Nonsmoker",VLOOKUP(PolicyholdersSimulation!J207,PremiumTable!$M$4:$P$41,4,FALSE),VLOOKUP(PolicyholdersSimulation!J207,PremiumTable!$S$4:$V$41,4,FALSE))</f>
        <v>106.37942043914147</v>
      </c>
    </row>
    <row r="208" spans="1:13" x14ac:dyDescent="0.3">
      <c r="A208">
        <v>183</v>
      </c>
      <c r="B208">
        <v>26</v>
      </c>
      <c r="C208">
        <f t="shared" si="8"/>
        <v>26</v>
      </c>
      <c r="D208">
        <v>0.85673734376892308</v>
      </c>
      <c r="E208" t="str">
        <f t="shared" si="10"/>
        <v>Nonsmoker</v>
      </c>
      <c r="F208">
        <f>IF(E208="Nonsmoker",VLOOKUP(PolicyholdersSimulation!C208,PremiumTable!$A$4:$D$41,4,FALSE),VLOOKUP(PolicyholdersSimulation!C208,PremiumTable!$G$4:$J$41,4,FALSE))</f>
        <v>94.730386259075559</v>
      </c>
      <c r="H208">
        <v>183</v>
      </c>
      <c r="I208">
        <v>26</v>
      </c>
      <c r="J208">
        <f t="shared" si="9"/>
        <v>26</v>
      </c>
      <c r="K208">
        <v>0.46119697171350404</v>
      </c>
      <c r="L208" t="str">
        <f t="shared" si="11"/>
        <v>Nonsmoker</v>
      </c>
      <c r="M208">
        <f>IF(L208="Nonsmoker",VLOOKUP(PolicyholdersSimulation!J208,PremiumTable!$M$4:$P$41,4,FALSE),VLOOKUP(PolicyholdersSimulation!J208,PremiumTable!$S$4:$V$41,4,FALSE))</f>
        <v>78.904303039663105</v>
      </c>
    </row>
    <row r="209" spans="1:13" x14ac:dyDescent="0.3">
      <c r="A209">
        <v>184</v>
      </c>
      <c r="B209">
        <v>35</v>
      </c>
      <c r="C209">
        <f t="shared" si="8"/>
        <v>35</v>
      </c>
      <c r="D209">
        <v>0.64421060805154085</v>
      </c>
      <c r="E209" t="str">
        <f t="shared" si="10"/>
        <v>Nonsmoker</v>
      </c>
      <c r="F209">
        <f>IF(E209="Nonsmoker",VLOOKUP(PolicyholdersSimulation!C209,PremiumTable!$A$4:$D$41,4,FALSE),VLOOKUP(PolicyholdersSimulation!C209,PremiumTable!$G$4:$J$41,4,FALSE))</f>
        <v>118.66696776486694</v>
      </c>
      <c r="H209">
        <v>184</v>
      </c>
      <c r="I209">
        <v>21</v>
      </c>
      <c r="J209">
        <f t="shared" si="9"/>
        <v>21</v>
      </c>
      <c r="K209">
        <v>0.46589316374029777</v>
      </c>
      <c r="L209" t="str">
        <f t="shared" si="11"/>
        <v>Nonsmoker</v>
      </c>
      <c r="M209">
        <f>IF(L209="Nonsmoker",VLOOKUP(PolicyholdersSimulation!J209,PremiumTable!$M$4:$P$41,4,FALSE),VLOOKUP(PolicyholdersSimulation!J209,PremiumTable!$S$4:$V$41,4,FALSE))</f>
        <v>83.888160082848557</v>
      </c>
    </row>
    <row r="210" spans="1:13" x14ac:dyDescent="0.3">
      <c r="A210">
        <v>185</v>
      </c>
      <c r="B210">
        <v>38</v>
      </c>
      <c r="C210">
        <f t="shared" si="8"/>
        <v>38</v>
      </c>
      <c r="D210">
        <v>2.2503398925389662E-2</v>
      </c>
      <c r="E210" t="str">
        <f t="shared" si="10"/>
        <v>Smoker</v>
      </c>
      <c r="F210">
        <f>IF(E210="Nonsmoker",VLOOKUP(PolicyholdersSimulation!C210,PremiumTable!$A$4:$D$41,4,FALSE),VLOOKUP(PolicyholdersSimulation!C210,PremiumTable!$G$4:$J$41,4,FALSE))</f>
        <v>282.55217322083809</v>
      </c>
      <c r="H210">
        <v>185</v>
      </c>
      <c r="I210">
        <v>28</v>
      </c>
      <c r="J210">
        <f t="shared" si="9"/>
        <v>28</v>
      </c>
      <c r="K210">
        <v>0.4114256129998175</v>
      </c>
      <c r="L210" t="str">
        <f t="shared" si="11"/>
        <v>Nonsmoker</v>
      </c>
      <c r="M210">
        <f>IF(L210="Nonsmoker",VLOOKUP(PolicyholdersSimulation!J210,PremiumTable!$M$4:$P$41,4,FALSE),VLOOKUP(PolicyholdersSimulation!J210,PremiumTable!$S$4:$V$41,4,FALSE))</f>
        <v>81.666348165376135</v>
      </c>
    </row>
    <row r="211" spans="1:13" x14ac:dyDescent="0.3">
      <c r="A211">
        <v>186</v>
      </c>
      <c r="B211">
        <v>43</v>
      </c>
      <c r="C211">
        <f t="shared" si="8"/>
        <v>43</v>
      </c>
      <c r="D211">
        <v>0.55113469542278737</v>
      </c>
      <c r="E211" t="str">
        <f t="shared" si="10"/>
        <v>Nonsmoker</v>
      </c>
      <c r="F211">
        <f>IF(E211="Nonsmoker",VLOOKUP(PolicyholdersSimulation!C211,PremiumTable!$A$4:$D$41,4,FALSE),VLOOKUP(PolicyholdersSimulation!C211,PremiumTable!$G$4:$J$41,4,FALSE))</f>
        <v>187.89384537033465</v>
      </c>
      <c r="H211">
        <v>186</v>
      </c>
      <c r="I211">
        <v>33</v>
      </c>
      <c r="J211">
        <f t="shared" si="9"/>
        <v>33</v>
      </c>
      <c r="K211">
        <v>0.14604574171075979</v>
      </c>
      <c r="L211" t="str">
        <f t="shared" si="11"/>
        <v>Smoker</v>
      </c>
      <c r="M211">
        <f>IF(L211="Nonsmoker",VLOOKUP(PolicyholdersSimulation!J211,PremiumTable!$M$4:$P$41,4,FALSE),VLOOKUP(PolicyholdersSimulation!J211,PremiumTable!$S$4:$V$41,4,FALSE))</f>
        <v>173.61887833841911</v>
      </c>
    </row>
    <row r="212" spans="1:13" x14ac:dyDescent="0.3">
      <c r="A212">
        <v>187</v>
      </c>
      <c r="B212">
        <v>41</v>
      </c>
      <c r="C212">
        <f t="shared" si="8"/>
        <v>41</v>
      </c>
      <c r="D212">
        <v>0.6891055304241831</v>
      </c>
      <c r="E212" t="str">
        <f t="shared" si="10"/>
        <v>Nonsmoker</v>
      </c>
      <c r="F212">
        <f>IF(E212="Nonsmoker",VLOOKUP(PolicyholdersSimulation!C212,PremiumTable!$A$4:$D$41,4,FALSE),VLOOKUP(PolicyholdersSimulation!C212,PremiumTable!$G$4:$J$41,4,FALSE))</f>
        <v>167.10777343661104</v>
      </c>
      <c r="H212">
        <v>187</v>
      </c>
      <c r="I212">
        <v>30</v>
      </c>
      <c r="J212">
        <f t="shared" si="9"/>
        <v>30</v>
      </c>
      <c r="K212">
        <v>0.57520309438627082</v>
      </c>
      <c r="L212" t="str">
        <f t="shared" si="11"/>
        <v>Nonsmoker</v>
      </c>
      <c r="M212">
        <f>IF(L212="Nonsmoker",VLOOKUP(PolicyholdersSimulation!J212,PremiumTable!$M$4:$P$41,4,FALSE),VLOOKUP(PolicyholdersSimulation!J212,PremiumTable!$S$4:$V$41,4,FALSE))</f>
        <v>86.835735543592065</v>
      </c>
    </row>
    <row r="213" spans="1:13" x14ac:dyDescent="0.3">
      <c r="A213">
        <v>188</v>
      </c>
      <c r="B213">
        <v>28</v>
      </c>
      <c r="C213">
        <f t="shared" si="8"/>
        <v>28</v>
      </c>
      <c r="D213">
        <v>0.46699584132634886</v>
      </c>
      <c r="E213" t="str">
        <f t="shared" si="10"/>
        <v>Nonsmoker</v>
      </c>
      <c r="F213">
        <f>IF(E213="Nonsmoker",VLOOKUP(PolicyholdersSimulation!C213,PremiumTable!$A$4:$D$41,4,FALSE),VLOOKUP(PolicyholdersSimulation!C213,PremiumTable!$G$4:$J$41,4,FALSE))</f>
        <v>97.344900542817271</v>
      </c>
      <c r="H213">
        <v>188</v>
      </c>
      <c r="I213">
        <v>29</v>
      </c>
      <c r="J213">
        <f t="shared" si="9"/>
        <v>29</v>
      </c>
      <c r="K213">
        <v>0.36265245988826655</v>
      </c>
      <c r="L213" t="str">
        <f t="shared" si="11"/>
        <v>Nonsmoker</v>
      </c>
      <c r="M213">
        <f>IF(L213="Nonsmoker",VLOOKUP(PolicyholdersSimulation!J213,PremiumTable!$M$4:$P$41,4,FALSE),VLOOKUP(PolicyholdersSimulation!J213,PremiumTable!$S$4:$V$41,4,FALSE))</f>
        <v>84.42413832124069</v>
      </c>
    </row>
    <row r="214" spans="1:13" x14ac:dyDescent="0.3">
      <c r="A214">
        <v>189</v>
      </c>
      <c r="B214">
        <v>28</v>
      </c>
      <c r="C214">
        <f t="shared" si="8"/>
        <v>28</v>
      </c>
      <c r="D214">
        <v>0.48156405442562333</v>
      </c>
      <c r="E214" t="str">
        <f t="shared" si="10"/>
        <v>Nonsmoker</v>
      </c>
      <c r="F214">
        <f>IF(E214="Nonsmoker",VLOOKUP(PolicyholdersSimulation!C214,PremiumTable!$A$4:$D$41,4,FALSE),VLOOKUP(PolicyholdersSimulation!C214,PremiumTable!$G$4:$J$41,4,FALSE))</f>
        <v>97.344900542817271</v>
      </c>
      <c r="H214">
        <v>189</v>
      </c>
      <c r="I214">
        <v>22</v>
      </c>
      <c r="J214">
        <f t="shared" si="9"/>
        <v>22</v>
      </c>
      <c r="K214">
        <v>0.90509758316815625</v>
      </c>
      <c r="L214" t="str">
        <f t="shared" si="11"/>
        <v>Nonsmoker</v>
      </c>
      <c r="M214">
        <f>IF(L214="Nonsmoker",VLOOKUP(PolicyholdersSimulation!J214,PremiumTable!$M$4:$P$41,4,FALSE),VLOOKUP(PolicyholdersSimulation!J214,PremiumTable!$S$4:$V$41,4,FALSE))</f>
        <v>81.743813936142374</v>
      </c>
    </row>
    <row r="215" spans="1:13" x14ac:dyDescent="0.3">
      <c r="A215">
        <v>190</v>
      </c>
      <c r="B215">
        <v>46</v>
      </c>
      <c r="C215">
        <f t="shared" si="8"/>
        <v>46</v>
      </c>
      <c r="D215">
        <v>0.91679791112359743</v>
      </c>
      <c r="E215" t="str">
        <f t="shared" si="10"/>
        <v>Nonsmoker</v>
      </c>
      <c r="F215">
        <f>IF(E215="Nonsmoker",VLOOKUP(PolicyholdersSimulation!C215,PremiumTable!$A$4:$D$41,4,FALSE),VLOOKUP(PolicyholdersSimulation!C215,PremiumTable!$G$4:$J$41,4,FALSE))</f>
        <v>229.57701919641352</v>
      </c>
      <c r="H215">
        <v>190</v>
      </c>
      <c r="I215">
        <v>34</v>
      </c>
      <c r="J215">
        <f t="shared" si="9"/>
        <v>34</v>
      </c>
      <c r="K215">
        <v>0.28823871175250526</v>
      </c>
      <c r="L215" t="str">
        <f t="shared" si="11"/>
        <v>Nonsmoker</v>
      </c>
      <c r="M215">
        <f>IF(L215="Nonsmoker",VLOOKUP(PolicyholdersSimulation!J215,PremiumTable!$M$4:$P$41,4,FALSE),VLOOKUP(PolicyholdersSimulation!J215,PremiumTable!$S$4:$V$41,4,FALSE))</f>
        <v>101.73968585979277</v>
      </c>
    </row>
    <row r="216" spans="1:13" x14ac:dyDescent="0.3">
      <c r="A216">
        <v>191</v>
      </c>
      <c r="B216">
        <v>37</v>
      </c>
      <c r="C216">
        <f t="shared" si="8"/>
        <v>37</v>
      </c>
      <c r="D216">
        <v>0.45150703132871073</v>
      </c>
      <c r="E216" t="str">
        <f t="shared" si="10"/>
        <v>Nonsmoker</v>
      </c>
      <c r="F216">
        <f>IF(E216="Nonsmoker",VLOOKUP(PolicyholdersSimulation!C216,PremiumTable!$A$4:$D$41,4,FALSE),VLOOKUP(PolicyholdersSimulation!C216,PremiumTable!$G$4:$J$41,4,FALSE))</f>
        <v>131.04073052327638</v>
      </c>
      <c r="H216">
        <v>191</v>
      </c>
      <c r="I216">
        <v>23</v>
      </c>
      <c r="J216">
        <f t="shared" si="9"/>
        <v>23</v>
      </c>
      <c r="K216">
        <v>0.25596452825092864</v>
      </c>
      <c r="L216" t="str">
        <f t="shared" si="11"/>
        <v>Nonsmoker</v>
      </c>
      <c r="M216">
        <f>IF(L216="Nonsmoker",VLOOKUP(PolicyholdersSimulation!J216,PremiumTable!$M$4:$P$41,4,FALSE),VLOOKUP(PolicyholdersSimulation!J216,PremiumTable!$S$4:$V$41,4,FALSE))</f>
        <v>80.885782895186097</v>
      </c>
    </row>
    <row r="217" spans="1:13" x14ac:dyDescent="0.3">
      <c r="A217">
        <v>192</v>
      </c>
      <c r="B217">
        <v>36</v>
      </c>
      <c r="C217">
        <f t="shared" si="8"/>
        <v>36</v>
      </c>
      <c r="D217">
        <v>0.39899980661749701</v>
      </c>
      <c r="E217" t="str">
        <f t="shared" si="10"/>
        <v>Nonsmoker</v>
      </c>
      <c r="F217">
        <f>IF(E217="Nonsmoker",VLOOKUP(PolicyholdersSimulation!C217,PremiumTable!$A$4:$D$41,4,FALSE),VLOOKUP(PolicyholdersSimulation!C217,PremiumTable!$G$4:$J$41,4,FALSE))</f>
        <v>124.81197180033109</v>
      </c>
      <c r="H217">
        <v>192</v>
      </c>
      <c r="I217">
        <v>29</v>
      </c>
      <c r="J217">
        <f t="shared" si="9"/>
        <v>29</v>
      </c>
      <c r="K217">
        <v>0.39906230966704848</v>
      </c>
      <c r="L217" t="str">
        <f t="shared" si="11"/>
        <v>Nonsmoker</v>
      </c>
      <c r="M217">
        <f>IF(L217="Nonsmoker",VLOOKUP(PolicyholdersSimulation!J217,PremiumTable!$M$4:$P$41,4,FALSE),VLOOKUP(PolicyholdersSimulation!J217,PremiumTable!$S$4:$V$41,4,FALSE))</f>
        <v>84.42413832124069</v>
      </c>
    </row>
    <row r="218" spans="1:13" x14ac:dyDescent="0.3">
      <c r="A218">
        <v>193</v>
      </c>
      <c r="B218">
        <v>33</v>
      </c>
      <c r="C218">
        <f t="shared" ref="C218:C281" si="12">IF(B218&lt;num_min,num_min,IF(B218&gt;num_max,num_max,B218))</f>
        <v>33</v>
      </c>
      <c r="D218">
        <v>0.23202163263573594</v>
      </c>
      <c r="E218" t="str">
        <f t="shared" si="10"/>
        <v>Nonsmoker</v>
      </c>
      <c r="F218">
        <f>IF(E218="Nonsmoker",VLOOKUP(PolicyholdersSimulation!C218,PremiumTable!$A$4:$D$41,4,FALSE),VLOOKUP(PolicyholdersSimulation!C218,PremiumTable!$G$4:$J$41,4,FALSE))</f>
        <v>108.39931664719025</v>
      </c>
      <c r="H218">
        <v>193</v>
      </c>
      <c r="I218">
        <v>25</v>
      </c>
      <c r="J218">
        <f t="shared" ref="J218:J281" si="13">IF(I218&lt;num_min,num_min,IF(I218&gt;num_max,num_max,I218))</f>
        <v>25</v>
      </c>
      <c r="K218">
        <v>0.39924447654470896</v>
      </c>
      <c r="L218" t="str">
        <f t="shared" si="11"/>
        <v>Nonsmoker</v>
      </c>
      <c r="M218">
        <f>IF(L218="Nonsmoker",VLOOKUP(PolicyholdersSimulation!J218,PremiumTable!$M$4:$P$41,4,FALSE),VLOOKUP(PolicyholdersSimulation!J218,PremiumTable!$S$4:$V$41,4,FALSE))</f>
        <v>78.502715161507126</v>
      </c>
    </row>
    <row r="219" spans="1:13" x14ac:dyDescent="0.3">
      <c r="A219">
        <v>194</v>
      </c>
      <c r="B219">
        <v>30</v>
      </c>
      <c r="C219">
        <f t="shared" si="12"/>
        <v>30</v>
      </c>
      <c r="D219">
        <v>0.11965343563843311</v>
      </c>
      <c r="E219" t="str">
        <f t="shared" ref="E219:E282" si="14">IF(D219&lt;=0.2,"Smoker","Nonsmoker")</f>
        <v>Smoker</v>
      </c>
      <c r="F219">
        <f>IF(E219="Nonsmoker",VLOOKUP(PolicyholdersSimulation!C219,PremiumTable!$A$4:$D$41,4,FALSE),VLOOKUP(PolicyholdersSimulation!C219,PremiumTable!$G$4:$J$41,4,FALSE))</f>
        <v>177.22130360568556</v>
      </c>
      <c r="H219">
        <v>194</v>
      </c>
      <c r="I219">
        <v>37</v>
      </c>
      <c r="J219">
        <f t="shared" si="13"/>
        <v>37</v>
      </c>
      <c r="K219">
        <v>0.22329818597798856</v>
      </c>
      <c r="L219" t="str">
        <f t="shared" ref="L219:L282" si="15">IF(K219&lt;=0.2,"Smoker","Nonsmoker")</f>
        <v>Nonsmoker</v>
      </c>
      <c r="M219">
        <f>IF(L219="Nonsmoker",VLOOKUP(PolicyholdersSimulation!J219,PremiumTable!$M$4:$P$41,4,FALSE),VLOOKUP(PolicyholdersSimulation!J219,PremiumTable!$S$4:$V$41,4,FALSE))</f>
        <v>116.32337590156675</v>
      </c>
    </row>
    <row r="220" spans="1:13" x14ac:dyDescent="0.3">
      <c r="A220">
        <v>195</v>
      </c>
      <c r="B220">
        <v>37</v>
      </c>
      <c r="C220">
        <f t="shared" si="12"/>
        <v>37</v>
      </c>
      <c r="D220">
        <v>0.43353789717824287</v>
      </c>
      <c r="E220" t="str">
        <f t="shared" si="14"/>
        <v>Nonsmoker</v>
      </c>
      <c r="F220">
        <f>IF(E220="Nonsmoker",VLOOKUP(PolicyholdersSimulation!C220,PremiumTable!$A$4:$D$41,4,FALSE),VLOOKUP(PolicyholdersSimulation!C220,PremiumTable!$G$4:$J$41,4,FALSE))</f>
        <v>131.04073052327638</v>
      </c>
      <c r="H220">
        <v>195</v>
      </c>
      <c r="I220">
        <v>30</v>
      </c>
      <c r="J220">
        <f t="shared" si="13"/>
        <v>30</v>
      </c>
      <c r="K220">
        <v>0.46979880934362561</v>
      </c>
      <c r="L220" t="str">
        <f t="shared" si="15"/>
        <v>Nonsmoker</v>
      </c>
      <c r="M220">
        <f>IF(L220="Nonsmoker",VLOOKUP(PolicyholdersSimulation!J220,PremiumTable!$M$4:$P$41,4,FALSE),VLOOKUP(PolicyholdersSimulation!J220,PremiumTable!$S$4:$V$41,4,FALSE))</f>
        <v>86.835735543592065</v>
      </c>
    </row>
    <row r="221" spans="1:13" x14ac:dyDescent="0.3">
      <c r="A221">
        <v>196</v>
      </c>
      <c r="B221">
        <v>45</v>
      </c>
      <c r="C221">
        <f t="shared" si="12"/>
        <v>45</v>
      </c>
      <c r="D221">
        <v>0.84111201039825045</v>
      </c>
      <c r="E221" t="str">
        <f t="shared" si="14"/>
        <v>Nonsmoker</v>
      </c>
      <c r="F221">
        <f>IF(E221="Nonsmoker",VLOOKUP(PolicyholdersSimulation!C221,PremiumTable!$A$4:$D$41,4,FALSE),VLOOKUP(PolicyholdersSimulation!C221,PremiumTable!$G$4:$J$41,4,FALSE))</f>
        <v>213.66497913765616</v>
      </c>
      <c r="H221">
        <v>196</v>
      </c>
      <c r="I221">
        <v>37</v>
      </c>
      <c r="J221">
        <f t="shared" si="13"/>
        <v>37</v>
      </c>
      <c r="K221">
        <v>0.3327698549896011</v>
      </c>
      <c r="L221" t="str">
        <f t="shared" si="15"/>
        <v>Nonsmoker</v>
      </c>
      <c r="M221">
        <f>IF(L221="Nonsmoker",VLOOKUP(PolicyholdersSimulation!J221,PremiumTable!$M$4:$P$41,4,FALSE),VLOOKUP(PolicyholdersSimulation!J221,PremiumTable!$S$4:$V$41,4,FALSE))</f>
        <v>116.32337590156675</v>
      </c>
    </row>
    <row r="222" spans="1:13" x14ac:dyDescent="0.3">
      <c r="A222">
        <v>197</v>
      </c>
      <c r="B222">
        <v>29</v>
      </c>
      <c r="C222">
        <f t="shared" si="12"/>
        <v>29</v>
      </c>
      <c r="D222">
        <v>0.82331192994123648</v>
      </c>
      <c r="E222" t="str">
        <f t="shared" si="14"/>
        <v>Nonsmoker</v>
      </c>
      <c r="F222">
        <f>IF(E222="Nonsmoker",VLOOKUP(PolicyholdersSimulation!C222,PremiumTable!$A$4:$D$41,4,FALSE),VLOOKUP(PolicyholdersSimulation!C222,PremiumTable!$G$4:$J$41,4,FALSE))</f>
        <v>97.884728277152888</v>
      </c>
      <c r="H222">
        <v>197</v>
      </c>
      <c r="I222">
        <v>32</v>
      </c>
      <c r="J222">
        <f t="shared" si="13"/>
        <v>32</v>
      </c>
      <c r="K222">
        <v>0.30285147068049467</v>
      </c>
      <c r="L222" t="str">
        <f t="shared" si="15"/>
        <v>Nonsmoker</v>
      </c>
      <c r="M222">
        <f>IF(L222="Nonsmoker",VLOOKUP(PolicyholdersSimulation!J222,PremiumTable!$M$4:$P$41,4,FALSE),VLOOKUP(PolicyholdersSimulation!J222,PremiumTable!$S$4:$V$41,4,FALSE))</f>
        <v>93.792888886888633</v>
      </c>
    </row>
    <row r="223" spans="1:13" x14ac:dyDescent="0.3">
      <c r="A223">
        <v>198</v>
      </c>
      <c r="B223">
        <v>38</v>
      </c>
      <c r="C223">
        <f t="shared" si="12"/>
        <v>38</v>
      </c>
      <c r="D223">
        <v>0.95434853281501375</v>
      </c>
      <c r="E223" t="str">
        <f t="shared" si="14"/>
        <v>Nonsmoker</v>
      </c>
      <c r="F223">
        <f>IF(E223="Nonsmoker",VLOOKUP(PolicyholdersSimulation!C223,PremiumTable!$A$4:$D$41,4,FALSE),VLOOKUP(PolicyholdersSimulation!C223,PremiumTable!$G$4:$J$41,4,FALSE))</f>
        <v>138.40856497239142</v>
      </c>
      <c r="H223">
        <v>198</v>
      </c>
      <c r="I223">
        <v>26</v>
      </c>
      <c r="J223">
        <f t="shared" si="13"/>
        <v>26</v>
      </c>
      <c r="K223">
        <v>0.92748611117637125</v>
      </c>
      <c r="L223" t="str">
        <f t="shared" si="15"/>
        <v>Nonsmoker</v>
      </c>
      <c r="M223">
        <f>IF(L223="Nonsmoker",VLOOKUP(PolicyholdersSimulation!J223,PremiumTable!$M$4:$P$41,4,FALSE),VLOOKUP(PolicyholdersSimulation!J223,PremiumTable!$S$4:$V$41,4,FALSE))</f>
        <v>78.904303039663105</v>
      </c>
    </row>
    <row r="224" spans="1:13" x14ac:dyDescent="0.3">
      <c r="A224">
        <v>199</v>
      </c>
      <c r="B224">
        <v>29</v>
      </c>
      <c r="C224">
        <f t="shared" si="12"/>
        <v>29</v>
      </c>
      <c r="D224">
        <v>0.24559700139913399</v>
      </c>
      <c r="E224" t="str">
        <f t="shared" si="14"/>
        <v>Nonsmoker</v>
      </c>
      <c r="F224">
        <f>IF(E224="Nonsmoker",VLOOKUP(PolicyholdersSimulation!C224,PremiumTable!$A$4:$D$41,4,FALSE),VLOOKUP(PolicyholdersSimulation!C224,PremiumTable!$G$4:$J$41,4,FALSE))</f>
        <v>97.884728277152888</v>
      </c>
      <c r="H224">
        <v>199</v>
      </c>
      <c r="I224">
        <v>33</v>
      </c>
      <c r="J224">
        <f t="shared" si="13"/>
        <v>33</v>
      </c>
      <c r="K224">
        <v>0.56461708135556954</v>
      </c>
      <c r="L224" t="str">
        <f t="shared" si="15"/>
        <v>Nonsmoker</v>
      </c>
      <c r="M224">
        <f>IF(L224="Nonsmoker",VLOOKUP(PolicyholdersSimulation!J224,PremiumTable!$M$4:$P$41,4,FALSE),VLOOKUP(PolicyholdersSimulation!J224,PremiumTable!$S$4:$V$41,4,FALSE))</f>
        <v>97.645038306373721</v>
      </c>
    </row>
    <row r="225" spans="1:13" x14ac:dyDescent="0.3">
      <c r="A225">
        <v>200</v>
      </c>
      <c r="B225">
        <v>42</v>
      </c>
      <c r="C225">
        <f t="shared" si="12"/>
        <v>42</v>
      </c>
      <c r="D225">
        <v>0.86282711675971913</v>
      </c>
      <c r="E225" t="str">
        <f t="shared" si="14"/>
        <v>Nonsmoker</v>
      </c>
      <c r="F225">
        <f>IF(E225="Nonsmoker",VLOOKUP(PolicyholdersSimulation!C225,PremiumTable!$A$4:$D$41,4,FALSE),VLOOKUP(PolicyholdersSimulation!C225,PremiumTable!$G$4:$J$41,4,FALSE))</f>
        <v>177.00343034109287</v>
      </c>
      <c r="H225">
        <v>200</v>
      </c>
      <c r="I225">
        <v>34</v>
      </c>
      <c r="J225">
        <f t="shared" si="13"/>
        <v>34</v>
      </c>
      <c r="K225">
        <v>0.29064785104594881</v>
      </c>
      <c r="L225" t="str">
        <f t="shared" si="15"/>
        <v>Nonsmoker</v>
      </c>
      <c r="M225">
        <f>IF(L225="Nonsmoker",VLOOKUP(PolicyholdersSimulation!J225,PremiumTable!$M$4:$P$41,4,FALSE),VLOOKUP(PolicyholdersSimulation!J225,PremiumTable!$S$4:$V$41,4,FALSE))</f>
        <v>101.73968585979277</v>
      </c>
    </row>
    <row r="226" spans="1:13" x14ac:dyDescent="0.3">
      <c r="A226">
        <v>201</v>
      </c>
      <c r="B226">
        <v>36</v>
      </c>
      <c r="C226">
        <f t="shared" si="12"/>
        <v>36</v>
      </c>
      <c r="D226">
        <v>0.9594991656231997</v>
      </c>
      <c r="E226" t="str">
        <f t="shared" si="14"/>
        <v>Nonsmoker</v>
      </c>
      <c r="F226">
        <f>IF(E226="Nonsmoker",VLOOKUP(PolicyholdersSimulation!C226,PremiumTable!$A$4:$D$41,4,FALSE),VLOOKUP(PolicyholdersSimulation!C226,PremiumTable!$G$4:$J$41,4,FALSE))</f>
        <v>124.81197180033109</v>
      </c>
      <c r="H226">
        <v>201</v>
      </c>
      <c r="I226">
        <v>28</v>
      </c>
      <c r="J226">
        <f t="shared" si="13"/>
        <v>28</v>
      </c>
      <c r="K226">
        <v>0.79813011289506475</v>
      </c>
      <c r="L226" t="str">
        <f t="shared" si="15"/>
        <v>Nonsmoker</v>
      </c>
      <c r="M226">
        <f>IF(L226="Nonsmoker",VLOOKUP(PolicyholdersSimulation!J226,PremiumTable!$M$4:$P$41,4,FALSE),VLOOKUP(PolicyholdersSimulation!J226,PremiumTable!$S$4:$V$41,4,FALSE))</f>
        <v>81.666348165376135</v>
      </c>
    </row>
    <row r="227" spans="1:13" x14ac:dyDescent="0.3">
      <c r="A227">
        <v>202</v>
      </c>
      <c r="B227">
        <v>36</v>
      </c>
      <c r="C227">
        <f t="shared" si="12"/>
        <v>36</v>
      </c>
      <c r="D227">
        <v>0.98513839872630016</v>
      </c>
      <c r="E227" t="str">
        <f t="shared" si="14"/>
        <v>Nonsmoker</v>
      </c>
      <c r="F227">
        <f>IF(E227="Nonsmoker",VLOOKUP(PolicyholdersSimulation!C227,PremiumTable!$A$4:$D$41,4,FALSE),VLOOKUP(PolicyholdersSimulation!C227,PremiumTable!$G$4:$J$41,4,FALSE))</f>
        <v>124.81197180033109</v>
      </c>
      <c r="H227">
        <v>202</v>
      </c>
      <c r="I227">
        <v>29</v>
      </c>
      <c r="J227">
        <f t="shared" si="13"/>
        <v>29</v>
      </c>
      <c r="K227">
        <v>0.34401954404614088</v>
      </c>
      <c r="L227" t="str">
        <f t="shared" si="15"/>
        <v>Nonsmoker</v>
      </c>
      <c r="M227">
        <f>IF(L227="Nonsmoker",VLOOKUP(PolicyholdersSimulation!J227,PremiumTable!$M$4:$P$41,4,FALSE),VLOOKUP(PolicyholdersSimulation!J227,PremiumTable!$S$4:$V$41,4,FALSE))</f>
        <v>84.42413832124069</v>
      </c>
    </row>
    <row r="228" spans="1:13" x14ac:dyDescent="0.3">
      <c r="A228">
        <v>203</v>
      </c>
      <c r="B228">
        <v>34</v>
      </c>
      <c r="C228">
        <f t="shared" si="12"/>
        <v>34</v>
      </c>
      <c r="D228">
        <v>0.48551944772651567</v>
      </c>
      <c r="E228" t="str">
        <f t="shared" si="14"/>
        <v>Nonsmoker</v>
      </c>
      <c r="F228">
        <f>IF(E228="Nonsmoker",VLOOKUP(PolicyholdersSimulation!C228,PremiumTable!$A$4:$D$41,4,FALSE),VLOOKUP(PolicyholdersSimulation!C228,PremiumTable!$G$4:$J$41,4,FALSE))</f>
        <v>113.54812871502432</v>
      </c>
      <c r="H228">
        <v>203</v>
      </c>
      <c r="I228">
        <v>34</v>
      </c>
      <c r="J228">
        <f t="shared" si="13"/>
        <v>34</v>
      </c>
      <c r="K228">
        <v>0.71176800054150402</v>
      </c>
      <c r="L228" t="str">
        <f t="shared" si="15"/>
        <v>Nonsmoker</v>
      </c>
      <c r="M228">
        <f>IF(L228="Nonsmoker",VLOOKUP(PolicyholdersSimulation!J228,PremiumTable!$M$4:$P$41,4,FALSE),VLOOKUP(PolicyholdersSimulation!J228,PremiumTable!$S$4:$V$41,4,FALSE))</f>
        <v>101.73968585979277</v>
      </c>
    </row>
    <row r="229" spans="1:13" x14ac:dyDescent="0.3">
      <c r="A229">
        <v>204</v>
      </c>
      <c r="B229">
        <v>40</v>
      </c>
      <c r="C229">
        <f t="shared" si="12"/>
        <v>40</v>
      </c>
      <c r="D229">
        <v>0.56362384221152495</v>
      </c>
      <c r="E229" t="str">
        <f t="shared" si="14"/>
        <v>Nonsmoker</v>
      </c>
      <c r="F229">
        <f>IF(E229="Nonsmoker",VLOOKUP(PolicyholdersSimulation!C229,PremiumTable!$A$4:$D$41,4,FALSE),VLOOKUP(PolicyholdersSimulation!C229,PremiumTable!$G$4:$J$41,4,FALSE))</f>
        <v>157.14195579270111</v>
      </c>
      <c r="H229">
        <v>204</v>
      </c>
      <c r="I229">
        <v>33</v>
      </c>
      <c r="J229">
        <f t="shared" si="13"/>
        <v>33</v>
      </c>
      <c r="K229">
        <v>0.38699184569582734</v>
      </c>
      <c r="L229" t="str">
        <f t="shared" si="15"/>
        <v>Nonsmoker</v>
      </c>
      <c r="M229">
        <f>IF(L229="Nonsmoker",VLOOKUP(PolicyholdersSimulation!J229,PremiumTable!$M$4:$P$41,4,FALSE),VLOOKUP(PolicyholdersSimulation!J229,PremiumTable!$S$4:$V$41,4,FALSE))</f>
        <v>97.645038306373721</v>
      </c>
    </row>
    <row r="230" spans="1:13" x14ac:dyDescent="0.3">
      <c r="A230">
        <v>205</v>
      </c>
      <c r="B230">
        <v>47</v>
      </c>
      <c r="C230">
        <f t="shared" si="12"/>
        <v>47</v>
      </c>
      <c r="D230">
        <v>0.65862448547185481</v>
      </c>
      <c r="E230" t="str">
        <f t="shared" si="14"/>
        <v>Nonsmoker</v>
      </c>
      <c r="F230">
        <f>IF(E230="Nonsmoker",VLOOKUP(PolicyholdersSimulation!C230,PremiumTable!$A$4:$D$41,4,FALSE),VLOOKUP(PolicyholdersSimulation!C230,PremiumTable!$G$4:$J$41,4,FALSE))</f>
        <v>248.06108695368769</v>
      </c>
      <c r="H230">
        <v>205</v>
      </c>
      <c r="I230">
        <v>25</v>
      </c>
      <c r="J230">
        <f t="shared" si="13"/>
        <v>25</v>
      </c>
      <c r="K230">
        <v>0.37196224520846677</v>
      </c>
      <c r="L230" t="str">
        <f t="shared" si="15"/>
        <v>Nonsmoker</v>
      </c>
      <c r="M230">
        <f>IF(L230="Nonsmoker",VLOOKUP(PolicyholdersSimulation!J230,PremiumTable!$M$4:$P$41,4,FALSE),VLOOKUP(PolicyholdersSimulation!J230,PremiumTable!$S$4:$V$41,4,FALSE))</f>
        <v>78.502715161507126</v>
      </c>
    </row>
    <row r="231" spans="1:13" x14ac:dyDescent="0.3">
      <c r="A231">
        <v>206</v>
      </c>
      <c r="B231">
        <v>35</v>
      </c>
      <c r="C231">
        <f t="shared" si="12"/>
        <v>35</v>
      </c>
      <c r="D231">
        <v>8.4112196166366004E-2</v>
      </c>
      <c r="E231" t="str">
        <f t="shared" si="14"/>
        <v>Smoker</v>
      </c>
      <c r="F231">
        <f>IF(E231="Nonsmoker",VLOOKUP(PolicyholdersSimulation!C231,PremiumTable!$A$4:$D$41,4,FALSE),VLOOKUP(PolicyholdersSimulation!C231,PremiumTable!$G$4:$J$41,4,FALSE))</f>
        <v>236.41979160208413</v>
      </c>
      <c r="H231">
        <v>206</v>
      </c>
      <c r="I231">
        <v>32</v>
      </c>
      <c r="J231">
        <f t="shared" si="13"/>
        <v>32</v>
      </c>
      <c r="K231">
        <v>0.81883032436804226</v>
      </c>
      <c r="L231" t="str">
        <f t="shared" si="15"/>
        <v>Nonsmoker</v>
      </c>
      <c r="M231">
        <f>IF(L231="Nonsmoker",VLOOKUP(PolicyholdersSimulation!J231,PremiumTable!$M$4:$P$41,4,FALSE),VLOOKUP(PolicyholdersSimulation!J231,PremiumTable!$S$4:$V$41,4,FALSE))</f>
        <v>93.792888886888633</v>
      </c>
    </row>
    <row r="232" spans="1:13" x14ac:dyDescent="0.3">
      <c r="A232">
        <v>207</v>
      </c>
      <c r="B232">
        <v>35</v>
      </c>
      <c r="C232">
        <f t="shared" si="12"/>
        <v>35</v>
      </c>
      <c r="D232">
        <v>0.74247602902648524</v>
      </c>
      <c r="E232" t="str">
        <f t="shared" si="14"/>
        <v>Nonsmoker</v>
      </c>
      <c r="F232">
        <f>IF(E232="Nonsmoker",VLOOKUP(PolicyholdersSimulation!C232,PremiumTable!$A$4:$D$41,4,FALSE),VLOOKUP(PolicyholdersSimulation!C232,PremiumTable!$G$4:$J$41,4,FALSE))</f>
        <v>118.66696776486694</v>
      </c>
      <c r="H232">
        <v>207</v>
      </c>
      <c r="I232">
        <v>29</v>
      </c>
      <c r="J232">
        <f t="shared" si="13"/>
        <v>29</v>
      </c>
      <c r="K232">
        <v>0.24062963363202428</v>
      </c>
      <c r="L232" t="str">
        <f t="shared" si="15"/>
        <v>Nonsmoker</v>
      </c>
      <c r="M232">
        <f>IF(L232="Nonsmoker",VLOOKUP(PolicyholdersSimulation!J232,PremiumTable!$M$4:$P$41,4,FALSE),VLOOKUP(PolicyholdersSimulation!J232,PremiumTable!$S$4:$V$41,4,FALSE))</f>
        <v>84.42413832124069</v>
      </c>
    </row>
    <row r="233" spans="1:13" x14ac:dyDescent="0.3">
      <c r="A233">
        <v>208</v>
      </c>
      <c r="B233">
        <v>33</v>
      </c>
      <c r="C233">
        <f t="shared" si="12"/>
        <v>33</v>
      </c>
      <c r="D233">
        <v>0.31038185010724373</v>
      </c>
      <c r="E233" t="str">
        <f t="shared" si="14"/>
        <v>Nonsmoker</v>
      </c>
      <c r="F233">
        <f>IF(E233="Nonsmoker",VLOOKUP(PolicyholdersSimulation!C233,PremiumTable!$A$4:$D$41,4,FALSE),VLOOKUP(PolicyholdersSimulation!C233,PremiumTable!$G$4:$J$41,4,FALSE))</f>
        <v>108.39931664719025</v>
      </c>
      <c r="H233">
        <v>208</v>
      </c>
      <c r="I233">
        <v>28</v>
      </c>
      <c r="J233">
        <f t="shared" si="13"/>
        <v>28</v>
      </c>
      <c r="K233">
        <v>0.98724239422211335</v>
      </c>
      <c r="L233" t="str">
        <f t="shared" si="15"/>
        <v>Nonsmoker</v>
      </c>
      <c r="M233">
        <f>IF(L233="Nonsmoker",VLOOKUP(PolicyholdersSimulation!J233,PremiumTable!$M$4:$P$41,4,FALSE),VLOOKUP(PolicyholdersSimulation!J233,PremiumTable!$S$4:$V$41,4,FALSE))</f>
        <v>81.666348165376135</v>
      </c>
    </row>
    <row r="234" spans="1:13" x14ac:dyDescent="0.3">
      <c r="A234">
        <v>209</v>
      </c>
      <c r="B234">
        <v>35</v>
      </c>
      <c r="C234">
        <f t="shared" si="12"/>
        <v>35</v>
      </c>
      <c r="D234">
        <v>5.8411711831231283E-2</v>
      </c>
      <c r="E234" t="str">
        <f t="shared" si="14"/>
        <v>Smoker</v>
      </c>
      <c r="F234">
        <f>IF(E234="Nonsmoker",VLOOKUP(PolicyholdersSimulation!C234,PremiumTable!$A$4:$D$41,4,FALSE),VLOOKUP(PolicyholdersSimulation!C234,PremiumTable!$G$4:$J$41,4,FALSE))</f>
        <v>236.41979160208413</v>
      </c>
      <c r="H234">
        <v>209</v>
      </c>
      <c r="I234">
        <v>31</v>
      </c>
      <c r="J234">
        <f t="shared" si="13"/>
        <v>31</v>
      </c>
      <c r="K234">
        <v>0.38487777800258482</v>
      </c>
      <c r="L234" t="str">
        <f t="shared" si="15"/>
        <v>Nonsmoker</v>
      </c>
      <c r="M234">
        <f>IF(L234="Nonsmoker",VLOOKUP(PolicyholdersSimulation!J234,PremiumTable!$M$4:$P$41,4,FALSE),VLOOKUP(PolicyholdersSimulation!J234,PremiumTable!$S$4:$V$41,4,FALSE))</f>
        <v>90.615055552142564</v>
      </c>
    </row>
    <row r="235" spans="1:13" x14ac:dyDescent="0.3">
      <c r="A235">
        <v>210</v>
      </c>
      <c r="B235">
        <v>44</v>
      </c>
      <c r="C235">
        <f t="shared" si="12"/>
        <v>44</v>
      </c>
      <c r="D235">
        <v>0.73078733525423689</v>
      </c>
      <c r="E235" t="str">
        <f t="shared" si="14"/>
        <v>Nonsmoker</v>
      </c>
      <c r="F235">
        <f>IF(E235="Nonsmoker",VLOOKUP(PolicyholdersSimulation!C235,PremiumTable!$A$4:$D$41,4,FALSE),VLOOKUP(PolicyholdersSimulation!C235,PremiumTable!$G$4:$J$41,4,FALSE))</f>
        <v>199.52896401205433</v>
      </c>
      <c r="H235">
        <v>210</v>
      </c>
      <c r="I235">
        <v>17</v>
      </c>
      <c r="J235">
        <f t="shared" si="13"/>
        <v>18</v>
      </c>
      <c r="K235">
        <v>0.49054668681097058</v>
      </c>
      <c r="L235" t="str">
        <f t="shared" si="15"/>
        <v>Nonsmoker</v>
      </c>
      <c r="M235">
        <f>IF(L235="Nonsmoker",VLOOKUP(PolicyholdersSimulation!J235,PremiumTable!$M$4:$P$41,4,FALSE),VLOOKUP(PolicyholdersSimulation!J235,PremiumTable!$S$4:$V$41,4,FALSE))</f>
        <v>93.301230978319609</v>
      </c>
    </row>
    <row r="236" spans="1:13" x14ac:dyDescent="0.3">
      <c r="A236">
        <v>211</v>
      </c>
      <c r="B236">
        <v>38</v>
      </c>
      <c r="C236">
        <f t="shared" si="12"/>
        <v>38</v>
      </c>
      <c r="D236">
        <v>0.86210733615036672</v>
      </c>
      <c r="E236" t="str">
        <f t="shared" si="14"/>
        <v>Nonsmoker</v>
      </c>
      <c r="F236">
        <f>IF(E236="Nonsmoker",VLOOKUP(PolicyholdersSimulation!C236,PremiumTable!$A$4:$D$41,4,FALSE),VLOOKUP(PolicyholdersSimulation!C236,PremiumTable!$G$4:$J$41,4,FALSE))</f>
        <v>138.40856497239142</v>
      </c>
      <c r="H236">
        <v>211</v>
      </c>
      <c r="I236">
        <v>25</v>
      </c>
      <c r="J236">
        <f t="shared" si="13"/>
        <v>25</v>
      </c>
      <c r="K236">
        <v>0.529762960253223</v>
      </c>
      <c r="L236" t="str">
        <f t="shared" si="15"/>
        <v>Nonsmoker</v>
      </c>
      <c r="M236">
        <f>IF(L236="Nonsmoker",VLOOKUP(PolicyholdersSimulation!J236,PremiumTable!$M$4:$P$41,4,FALSE),VLOOKUP(PolicyholdersSimulation!J236,PremiumTable!$S$4:$V$41,4,FALSE))</f>
        <v>78.502715161507126</v>
      </c>
    </row>
    <row r="237" spans="1:13" x14ac:dyDescent="0.3">
      <c r="A237">
        <v>212</v>
      </c>
      <c r="B237">
        <v>42</v>
      </c>
      <c r="C237">
        <f t="shared" si="12"/>
        <v>42</v>
      </c>
      <c r="D237">
        <v>8.8607930664258094E-2</v>
      </c>
      <c r="E237" t="str">
        <f t="shared" si="14"/>
        <v>Smoker</v>
      </c>
      <c r="F237">
        <f>IF(E237="Nonsmoker",VLOOKUP(PolicyholdersSimulation!C237,PremiumTable!$A$4:$D$41,4,FALSE),VLOOKUP(PolicyholdersSimulation!C237,PremiumTable!$G$4:$J$41,4,FALSE))</f>
        <v>387.89821102648176</v>
      </c>
      <c r="H237">
        <v>212</v>
      </c>
      <c r="I237">
        <v>22</v>
      </c>
      <c r="J237">
        <f t="shared" si="13"/>
        <v>22</v>
      </c>
      <c r="K237">
        <v>0.17148763665434552</v>
      </c>
      <c r="L237" t="str">
        <f t="shared" si="15"/>
        <v>Smoker</v>
      </c>
      <c r="M237">
        <f>IF(L237="Nonsmoker",VLOOKUP(PolicyholdersSimulation!J237,PremiumTable!$M$4:$P$41,4,FALSE),VLOOKUP(PolicyholdersSimulation!J237,PremiumTable!$S$4:$V$41,4,FALSE))</f>
        <v>96.757031722187165</v>
      </c>
    </row>
    <row r="238" spans="1:13" x14ac:dyDescent="0.3">
      <c r="A238">
        <v>213</v>
      </c>
      <c r="B238">
        <v>23</v>
      </c>
      <c r="C238">
        <f t="shared" si="12"/>
        <v>23</v>
      </c>
      <c r="D238">
        <v>0.65270044550576412</v>
      </c>
      <c r="E238" t="str">
        <f t="shared" si="14"/>
        <v>Nonsmoker</v>
      </c>
      <c r="F238">
        <f>IF(E238="Nonsmoker",VLOOKUP(PolicyholdersSimulation!C238,PremiumTable!$A$4:$D$41,4,FALSE),VLOOKUP(PolicyholdersSimulation!C238,PremiumTable!$G$4:$J$41,4,FALSE))</f>
        <v>105.51305445777562</v>
      </c>
      <c r="H238">
        <v>213</v>
      </c>
      <c r="I238">
        <v>33</v>
      </c>
      <c r="J238">
        <f t="shared" si="13"/>
        <v>33</v>
      </c>
      <c r="K238">
        <v>0.41179448243616457</v>
      </c>
      <c r="L238" t="str">
        <f t="shared" si="15"/>
        <v>Nonsmoker</v>
      </c>
      <c r="M238">
        <f>IF(L238="Nonsmoker",VLOOKUP(PolicyholdersSimulation!J238,PremiumTable!$M$4:$P$41,4,FALSE),VLOOKUP(PolicyholdersSimulation!J238,PremiumTable!$S$4:$V$41,4,FALSE))</f>
        <v>97.645038306373721</v>
      </c>
    </row>
    <row r="239" spans="1:13" x14ac:dyDescent="0.3">
      <c r="A239">
        <v>214</v>
      </c>
      <c r="B239">
        <v>35</v>
      </c>
      <c r="C239">
        <f t="shared" si="12"/>
        <v>35</v>
      </c>
      <c r="D239">
        <v>0.96178119825849462</v>
      </c>
      <c r="E239" t="str">
        <f t="shared" si="14"/>
        <v>Nonsmoker</v>
      </c>
      <c r="F239">
        <f>IF(E239="Nonsmoker",VLOOKUP(PolicyholdersSimulation!C239,PremiumTable!$A$4:$D$41,4,FALSE),VLOOKUP(PolicyholdersSimulation!C239,PremiumTable!$G$4:$J$41,4,FALSE))</f>
        <v>118.66696776486694</v>
      </c>
      <c r="H239">
        <v>214</v>
      </c>
      <c r="I239">
        <v>39</v>
      </c>
      <c r="J239">
        <f t="shared" si="13"/>
        <v>39</v>
      </c>
      <c r="K239">
        <v>0.27804535077667902</v>
      </c>
      <c r="L239" t="str">
        <f t="shared" si="15"/>
        <v>Nonsmoker</v>
      </c>
      <c r="M239">
        <f>IF(L239="Nonsmoker",VLOOKUP(PolicyholdersSimulation!J239,PremiumTable!$M$4:$P$41,4,FALSE),VLOOKUP(PolicyholdersSimulation!J239,PremiumTable!$S$4:$V$41,4,FALSE))</f>
        <v>127.51379701253681</v>
      </c>
    </row>
    <row r="240" spans="1:13" x14ac:dyDescent="0.3">
      <c r="A240">
        <v>215</v>
      </c>
      <c r="B240">
        <v>32</v>
      </c>
      <c r="C240">
        <f t="shared" si="12"/>
        <v>32</v>
      </c>
      <c r="D240">
        <v>0.68666199783591408</v>
      </c>
      <c r="E240" t="str">
        <f t="shared" si="14"/>
        <v>Nonsmoker</v>
      </c>
      <c r="F240">
        <f>IF(E240="Nonsmoker",VLOOKUP(PolicyholdersSimulation!C240,PremiumTable!$A$4:$D$41,4,FALSE),VLOOKUP(PolicyholdersSimulation!C240,PremiumTable!$G$4:$J$41,4,FALSE))</f>
        <v>104.12568156832383</v>
      </c>
      <c r="H240">
        <v>215</v>
      </c>
      <c r="I240">
        <v>27</v>
      </c>
      <c r="J240">
        <f t="shared" si="13"/>
        <v>27</v>
      </c>
      <c r="K240">
        <v>0.20092759789366255</v>
      </c>
      <c r="L240" t="str">
        <f t="shared" si="15"/>
        <v>Nonsmoker</v>
      </c>
      <c r="M240">
        <f>IF(L240="Nonsmoker",VLOOKUP(PolicyholdersSimulation!J240,PremiumTable!$M$4:$P$41,4,FALSE),VLOOKUP(PolicyholdersSimulation!J240,PremiumTable!$S$4:$V$41,4,FALSE))</f>
        <v>80.233973036058572</v>
      </c>
    </row>
    <row r="241" spans="1:13" x14ac:dyDescent="0.3">
      <c r="A241">
        <v>216</v>
      </c>
      <c r="B241">
        <v>33</v>
      </c>
      <c r="C241">
        <f t="shared" si="12"/>
        <v>33</v>
      </c>
      <c r="D241">
        <v>0.48468538352896784</v>
      </c>
      <c r="E241" t="str">
        <f t="shared" si="14"/>
        <v>Nonsmoker</v>
      </c>
      <c r="F241">
        <f>IF(E241="Nonsmoker",VLOOKUP(PolicyholdersSimulation!C241,PremiumTable!$A$4:$D$41,4,FALSE),VLOOKUP(PolicyholdersSimulation!C241,PremiumTable!$G$4:$J$41,4,FALSE))</f>
        <v>108.39931664719025</v>
      </c>
      <c r="H241">
        <v>216</v>
      </c>
      <c r="I241">
        <v>20</v>
      </c>
      <c r="J241">
        <f t="shared" si="13"/>
        <v>20</v>
      </c>
      <c r="K241">
        <v>0.97282676526816758</v>
      </c>
      <c r="L241" t="str">
        <f t="shared" si="15"/>
        <v>Nonsmoker</v>
      </c>
      <c r="M241">
        <f>IF(L241="Nonsmoker",VLOOKUP(PolicyholdersSimulation!J241,PremiumTable!$M$4:$P$41,4,FALSE),VLOOKUP(PolicyholdersSimulation!J241,PremiumTable!$S$4:$V$41,4,FALSE))</f>
        <v>86.6404678253936</v>
      </c>
    </row>
    <row r="242" spans="1:13" x14ac:dyDescent="0.3">
      <c r="A242">
        <v>217</v>
      </c>
      <c r="B242">
        <v>31</v>
      </c>
      <c r="C242">
        <f t="shared" si="12"/>
        <v>31</v>
      </c>
      <c r="D242">
        <v>0.79980010414163261</v>
      </c>
      <c r="E242" t="str">
        <f t="shared" si="14"/>
        <v>Nonsmoker</v>
      </c>
      <c r="F242">
        <f>IF(E242="Nonsmoker",VLOOKUP(PolicyholdersSimulation!C242,PremiumTable!$A$4:$D$41,4,FALSE),VLOOKUP(PolicyholdersSimulation!C242,PremiumTable!$G$4:$J$41,4,FALSE))</f>
        <v>100.09400993488123</v>
      </c>
      <c r="H242">
        <v>217</v>
      </c>
      <c r="I242">
        <v>40</v>
      </c>
      <c r="J242">
        <f t="shared" si="13"/>
        <v>40</v>
      </c>
      <c r="K242">
        <v>0.55921298705771583</v>
      </c>
      <c r="L242" t="str">
        <f t="shared" si="15"/>
        <v>Nonsmoker</v>
      </c>
      <c r="M242">
        <f>IF(L242="Nonsmoker",VLOOKUP(PolicyholdersSimulation!J242,PremiumTable!$M$4:$P$41,4,FALSE),VLOOKUP(PolicyholdersSimulation!J242,PremiumTable!$S$4:$V$41,4,FALSE))</f>
        <v>133.66130890410457</v>
      </c>
    </row>
    <row r="243" spans="1:13" x14ac:dyDescent="0.3">
      <c r="A243">
        <v>218</v>
      </c>
      <c r="B243">
        <v>37</v>
      </c>
      <c r="C243">
        <f t="shared" si="12"/>
        <v>37</v>
      </c>
      <c r="D243">
        <v>0.76931407176880928</v>
      </c>
      <c r="E243" t="str">
        <f t="shared" si="14"/>
        <v>Nonsmoker</v>
      </c>
      <c r="F243">
        <f>IF(E243="Nonsmoker",VLOOKUP(PolicyholdersSimulation!C243,PremiumTable!$A$4:$D$41,4,FALSE),VLOOKUP(PolicyholdersSimulation!C243,PremiumTable!$G$4:$J$41,4,FALSE))</f>
        <v>131.04073052327638</v>
      </c>
      <c r="H243">
        <v>218</v>
      </c>
      <c r="I243">
        <v>31</v>
      </c>
      <c r="J243">
        <f t="shared" si="13"/>
        <v>31</v>
      </c>
      <c r="K243">
        <v>0.39314402828655659</v>
      </c>
      <c r="L243" t="str">
        <f t="shared" si="15"/>
        <v>Nonsmoker</v>
      </c>
      <c r="M243">
        <f>IF(L243="Nonsmoker",VLOOKUP(PolicyholdersSimulation!J243,PremiumTable!$M$4:$P$41,4,FALSE),VLOOKUP(PolicyholdersSimulation!J243,PremiumTable!$S$4:$V$41,4,FALSE))</f>
        <v>90.615055552142564</v>
      </c>
    </row>
    <row r="244" spans="1:13" x14ac:dyDescent="0.3">
      <c r="A244">
        <v>219</v>
      </c>
      <c r="B244">
        <v>33</v>
      </c>
      <c r="C244">
        <f t="shared" si="12"/>
        <v>33</v>
      </c>
      <c r="D244">
        <v>0.64532963687419975</v>
      </c>
      <c r="E244" t="str">
        <f t="shared" si="14"/>
        <v>Nonsmoker</v>
      </c>
      <c r="F244">
        <f>IF(E244="Nonsmoker",VLOOKUP(PolicyholdersSimulation!C244,PremiumTable!$A$4:$D$41,4,FALSE),VLOOKUP(PolicyholdersSimulation!C244,PremiumTable!$G$4:$J$41,4,FALSE))</f>
        <v>108.39931664719025</v>
      </c>
      <c r="H244">
        <v>219</v>
      </c>
      <c r="I244">
        <v>29</v>
      </c>
      <c r="J244">
        <f t="shared" si="13"/>
        <v>29</v>
      </c>
      <c r="K244">
        <v>0.59373412250939184</v>
      </c>
      <c r="L244" t="str">
        <f t="shared" si="15"/>
        <v>Nonsmoker</v>
      </c>
      <c r="M244">
        <f>IF(L244="Nonsmoker",VLOOKUP(PolicyholdersSimulation!J244,PremiumTable!$M$4:$P$41,4,FALSE),VLOOKUP(PolicyholdersSimulation!J244,PremiumTable!$S$4:$V$41,4,FALSE))</f>
        <v>84.42413832124069</v>
      </c>
    </row>
    <row r="245" spans="1:13" x14ac:dyDescent="0.3">
      <c r="A245">
        <v>220</v>
      </c>
      <c r="B245">
        <v>37</v>
      </c>
      <c r="C245">
        <f t="shared" si="12"/>
        <v>37</v>
      </c>
      <c r="D245">
        <v>0.53801949675302008</v>
      </c>
      <c r="E245" t="str">
        <f t="shared" si="14"/>
        <v>Nonsmoker</v>
      </c>
      <c r="F245">
        <f>IF(E245="Nonsmoker",VLOOKUP(PolicyholdersSimulation!C245,PremiumTable!$A$4:$D$41,4,FALSE),VLOOKUP(PolicyholdersSimulation!C245,PremiumTable!$G$4:$J$41,4,FALSE))</f>
        <v>131.04073052327638</v>
      </c>
      <c r="H245">
        <v>220</v>
      </c>
      <c r="I245">
        <v>36</v>
      </c>
      <c r="J245">
        <f t="shared" si="13"/>
        <v>36</v>
      </c>
      <c r="K245">
        <v>0.86527824785832286</v>
      </c>
      <c r="L245" t="str">
        <f t="shared" si="15"/>
        <v>Nonsmoker</v>
      </c>
      <c r="M245">
        <f>IF(L245="Nonsmoker",VLOOKUP(PolicyholdersSimulation!J245,PremiumTable!$M$4:$P$41,4,FALSE),VLOOKUP(PolicyholdersSimulation!J245,PremiumTable!$S$4:$V$41,4,FALSE))</f>
        <v>111.05506919808718</v>
      </c>
    </row>
    <row r="246" spans="1:13" x14ac:dyDescent="0.3">
      <c r="A246">
        <v>221</v>
      </c>
      <c r="B246">
        <v>44</v>
      </c>
      <c r="C246">
        <f t="shared" si="12"/>
        <v>44</v>
      </c>
      <c r="D246">
        <v>0.77912792439166711</v>
      </c>
      <c r="E246" t="str">
        <f t="shared" si="14"/>
        <v>Nonsmoker</v>
      </c>
      <c r="F246">
        <f>IF(E246="Nonsmoker",VLOOKUP(PolicyholdersSimulation!C246,PremiumTable!$A$4:$D$41,4,FALSE),VLOOKUP(PolicyholdersSimulation!C246,PremiumTable!$G$4:$J$41,4,FALSE))</f>
        <v>199.52896401205433</v>
      </c>
      <c r="H246">
        <v>221</v>
      </c>
      <c r="I246">
        <v>46</v>
      </c>
      <c r="J246">
        <f t="shared" si="13"/>
        <v>46</v>
      </c>
      <c r="K246">
        <v>0.83680257964043381</v>
      </c>
      <c r="L246" t="str">
        <f t="shared" si="15"/>
        <v>Nonsmoker</v>
      </c>
      <c r="M246">
        <f>IF(L246="Nonsmoker",VLOOKUP(PolicyholdersSimulation!J246,PremiumTable!$M$4:$P$41,4,FALSE),VLOOKUP(PolicyholdersSimulation!J246,PremiumTable!$S$4:$V$41,4,FALSE))</f>
        <v>186.68854154389757</v>
      </c>
    </row>
    <row r="247" spans="1:13" x14ac:dyDescent="0.3">
      <c r="A247">
        <v>222</v>
      </c>
      <c r="B247">
        <v>38</v>
      </c>
      <c r="C247">
        <f t="shared" si="12"/>
        <v>38</v>
      </c>
      <c r="D247">
        <v>0.3124008717427903</v>
      </c>
      <c r="E247" t="str">
        <f t="shared" si="14"/>
        <v>Nonsmoker</v>
      </c>
      <c r="F247">
        <f>IF(E247="Nonsmoker",VLOOKUP(PolicyholdersSimulation!C247,PremiumTable!$A$4:$D$41,4,FALSE),VLOOKUP(PolicyholdersSimulation!C247,PremiumTable!$G$4:$J$41,4,FALSE))</f>
        <v>138.40856497239142</v>
      </c>
      <c r="H247">
        <v>222</v>
      </c>
      <c r="I247">
        <v>33</v>
      </c>
      <c r="J247">
        <f t="shared" si="13"/>
        <v>33</v>
      </c>
      <c r="K247">
        <v>0.83204543098958494</v>
      </c>
      <c r="L247" t="str">
        <f t="shared" si="15"/>
        <v>Nonsmoker</v>
      </c>
      <c r="M247">
        <f>IF(L247="Nonsmoker",VLOOKUP(PolicyholdersSimulation!J247,PremiumTable!$M$4:$P$41,4,FALSE),VLOOKUP(PolicyholdersSimulation!J247,PremiumTable!$S$4:$V$41,4,FALSE))</f>
        <v>97.645038306373721</v>
      </c>
    </row>
    <row r="248" spans="1:13" x14ac:dyDescent="0.3">
      <c r="A248">
        <v>223</v>
      </c>
      <c r="B248">
        <v>40</v>
      </c>
      <c r="C248">
        <f t="shared" si="12"/>
        <v>40</v>
      </c>
      <c r="D248">
        <v>0.31957495226437505</v>
      </c>
      <c r="E248" t="str">
        <f t="shared" si="14"/>
        <v>Nonsmoker</v>
      </c>
      <c r="F248">
        <f>IF(E248="Nonsmoker",VLOOKUP(PolicyholdersSimulation!C248,PremiumTable!$A$4:$D$41,4,FALSE),VLOOKUP(PolicyholdersSimulation!C248,PremiumTable!$G$4:$J$41,4,FALSE))</f>
        <v>157.14195579270111</v>
      </c>
      <c r="H248">
        <v>223</v>
      </c>
      <c r="I248">
        <v>33</v>
      </c>
      <c r="J248">
        <f t="shared" si="13"/>
        <v>33</v>
      </c>
      <c r="K248">
        <v>0.44930675958211763</v>
      </c>
      <c r="L248" t="str">
        <f t="shared" si="15"/>
        <v>Nonsmoker</v>
      </c>
      <c r="M248">
        <f>IF(L248="Nonsmoker",VLOOKUP(PolicyholdersSimulation!J248,PremiumTable!$M$4:$P$41,4,FALSE),VLOOKUP(PolicyholdersSimulation!J248,PremiumTable!$S$4:$V$41,4,FALSE))</f>
        <v>97.645038306373721</v>
      </c>
    </row>
    <row r="249" spans="1:13" x14ac:dyDescent="0.3">
      <c r="A249">
        <v>224</v>
      </c>
      <c r="B249">
        <v>34</v>
      </c>
      <c r="C249">
        <f t="shared" si="12"/>
        <v>34</v>
      </c>
      <c r="D249">
        <v>0.11077260266357536</v>
      </c>
      <c r="E249" t="str">
        <f t="shared" si="14"/>
        <v>Smoker</v>
      </c>
      <c r="F249">
        <f>IF(E249="Nonsmoker",VLOOKUP(PolicyholdersSimulation!C249,PremiumTable!$A$4:$D$41,4,FALSE),VLOOKUP(PolicyholdersSimulation!C249,PremiumTable!$G$4:$J$41,4,FALSE))</f>
        <v>225.27351007609735</v>
      </c>
      <c r="H249">
        <v>224</v>
      </c>
      <c r="I249">
        <v>24</v>
      </c>
      <c r="J249">
        <f t="shared" si="13"/>
        <v>24</v>
      </c>
      <c r="K249">
        <v>0.33764438860005863</v>
      </c>
      <c r="L249" t="str">
        <f t="shared" si="15"/>
        <v>Nonsmoker</v>
      </c>
      <c r="M249">
        <f>IF(L249="Nonsmoker",VLOOKUP(PolicyholdersSimulation!J249,PremiumTable!$M$4:$P$41,4,FALSE),VLOOKUP(PolicyholdersSimulation!J249,PremiumTable!$S$4:$V$41,4,FALSE))</f>
        <v>79.12344116938408</v>
      </c>
    </row>
    <row r="250" spans="1:13" x14ac:dyDescent="0.3">
      <c r="A250">
        <v>225</v>
      </c>
      <c r="B250">
        <v>45</v>
      </c>
      <c r="C250">
        <f t="shared" si="12"/>
        <v>45</v>
      </c>
      <c r="D250">
        <v>0.26752626206777874</v>
      </c>
      <c r="E250" t="str">
        <f t="shared" si="14"/>
        <v>Nonsmoker</v>
      </c>
      <c r="F250">
        <f>IF(E250="Nonsmoker",VLOOKUP(PolicyholdersSimulation!C250,PremiumTable!$A$4:$D$41,4,FALSE),VLOOKUP(PolicyholdersSimulation!C250,PremiumTable!$G$4:$J$41,4,FALSE))</f>
        <v>213.66497913765616</v>
      </c>
      <c r="H250">
        <v>225</v>
      </c>
      <c r="I250">
        <v>31</v>
      </c>
      <c r="J250">
        <f t="shared" si="13"/>
        <v>31</v>
      </c>
      <c r="K250">
        <v>0.28991704599942258</v>
      </c>
      <c r="L250" t="str">
        <f t="shared" si="15"/>
        <v>Nonsmoker</v>
      </c>
      <c r="M250">
        <f>IF(L250="Nonsmoker",VLOOKUP(PolicyholdersSimulation!J250,PremiumTable!$M$4:$P$41,4,FALSE),VLOOKUP(PolicyholdersSimulation!J250,PremiumTable!$S$4:$V$41,4,FALSE))</f>
        <v>90.615055552142564</v>
      </c>
    </row>
    <row r="251" spans="1:13" x14ac:dyDescent="0.3">
      <c r="A251">
        <v>226</v>
      </c>
      <c r="B251">
        <v>40</v>
      </c>
      <c r="C251">
        <f t="shared" si="12"/>
        <v>40</v>
      </c>
      <c r="D251">
        <v>0.2419817915471657</v>
      </c>
      <c r="E251" t="str">
        <f t="shared" si="14"/>
        <v>Nonsmoker</v>
      </c>
      <c r="F251">
        <f>IF(E251="Nonsmoker",VLOOKUP(PolicyholdersSimulation!C251,PremiumTable!$A$4:$D$41,4,FALSE),VLOOKUP(PolicyholdersSimulation!C251,PremiumTable!$G$4:$J$41,4,FALSE))</f>
        <v>157.14195579270111</v>
      </c>
      <c r="H251">
        <v>226</v>
      </c>
      <c r="I251">
        <v>26</v>
      </c>
      <c r="J251">
        <f t="shared" si="13"/>
        <v>26</v>
      </c>
      <c r="K251">
        <v>0.34164839655105861</v>
      </c>
      <c r="L251" t="str">
        <f t="shared" si="15"/>
        <v>Nonsmoker</v>
      </c>
      <c r="M251">
        <f>IF(L251="Nonsmoker",VLOOKUP(PolicyholdersSimulation!J251,PremiumTable!$M$4:$P$41,4,FALSE),VLOOKUP(PolicyholdersSimulation!J251,PremiumTable!$S$4:$V$41,4,FALSE))</f>
        <v>78.904303039663105</v>
      </c>
    </row>
    <row r="252" spans="1:13" x14ac:dyDescent="0.3">
      <c r="A252">
        <v>227</v>
      </c>
      <c r="B252">
        <v>32</v>
      </c>
      <c r="C252">
        <f t="shared" si="12"/>
        <v>32</v>
      </c>
      <c r="D252">
        <v>0.33721021158171771</v>
      </c>
      <c r="E252" t="str">
        <f t="shared" si="14"/>
        <v>Nonsmoker</v>
      </c>
      <c r="F252">
        <f>IF(E252="Nonsmoker",VLOOKUP(PolicyholdersSimulation!C252,PremiumTable!$A$4:$D$41,4,FALSE),VLOOKUP(PolicyholdersSimulation!C252,PremiumTable!$G$4:$J$41,4,FALSE))</f>
        <v>104.12568156832383</v>
      </c>
      <c r="H252">
        <v>227</v>
      </c>
      <c r="I252">
        <v>27</v>
      </c>
      <c r="J252">
        <f t="shared" si="13"/>
        <v>27</v>
      </c>
      <c r="K252">
        <v>0.75060413588502362</v>
      </c>
      <c r="L252" t="str">
        <f t="shared" si="15"/>
        <v>Nonsmoker</v>
      </c>
      <c r="M252">
        <f>IF(L252="Nonsmoker",VLOOKUP(PolicyholdersSimulation!J252,PremiumTable!$M$4:$P$41,4,FALSE),VLOOKUP(PolicyholdersSimulation!J252,PremiumTable!$S$4:$V$41,4,FALSE))</f>
        <v>80.233973036058572</v>
      </c>
    </row>
    <row r="253" spans="1:13" x14ac:dyDescent="0.3">
      <c r="A253">
        <v>228</v>
      </c>
      <c r="B253">
        <v>35</v>
      </c>
      <c r="C253">
        <f t="shared" si="12"/>
        <v>35</v>
      </c>
      <c r="D253">
        <v>0.25423282467758013</v>
      </c>
      <c r="E253" t="str">
        <f t="shared" si="14"/>
        <v>Nonsmoker</v>
      </c>
      <c r="F253">
        <f>IF(E253="Nonsmoker",VLOOKUP(PolicyholdersSimulation!C253,PremiumTable!$A$4:$D$41,4,FALSE),VLOOKUP(PolicyholdersSimulation!C253,PremiumTable!$G$4:$J$41,4,FALSE))</f>
        <v>118.66696776486694</v>
      </c>
      <c r="H253">
        <v>228</v>
      </c>
      <c r="I253">
        <v>29</v>
      </c>
      <c r="J253">
        <f t="shared" si="13"/>
        <v>29</v>
      </c>
      <c r="K253">
        <v>0.65766170211709107</v>
      </c>
      <c r="L253" t="str">
        <f t="shared" si="15"/>
        <v>Nonsmoker</v>
      </c>
      <c r="M253">
        <f>IF(L253="Nonsmoker",VLOOKUP(PolicyholdersSimulation!J253,PremiumTable!$M$4:$P$41,4,FALSE),VLOOKUP(PolicyholdersSimulation!J253,PremiumTable!$S$4:$V$41,4,FALSE))</f>
        <v>84.42413832124069</v>
      </c>
    </row>
    <row r="254" spans="1:13" x14ac:dyDescent="0.3">
      <c r="A254">
        <v>229</v>
      </c>
      <c r="B254">
        <v>27</v>
      </c>
      <c r="C254">
        <f t="shared" si="12"/>
        <v>27</v>
      </c>
      <c r="D254">
        <v>0.97752312194543123</v>
      </c>
      <c r="E254" t="str">
        <f t="shared" si="14"/>
        <v>Nonsmoker</v>
      </c>
      <c r="F254">
        <f>IF(E254="Nonsmoker",VLOOKUP(PolicyholdersSimulation!C254,PremiumTable!$A$4:$D$41,4,FALSE),VLOOKUP(PolicyholdersSimulation!C254,PremiumTable!$G$4:$J$41,4,FALSE))</f>
        <v>95.45464806549127</v>
      </c>
      <c r="H254">
        <v>229</v>
      </c>
      <c r="I254">
        <v>30</v>
      </c>
      <c r="J254">
        <f t="shared" si="13"/>
        <v>30</v>
      </c>
      <c r="K254">
        <v>0.39266944459211151</v>
      </c>
      <c r="L254" t="str">
        <f t="shared" si="15"/>
        <v>Nonsmoker</v>
      </c>
      <c r="M254">
        <f>IF(L254="Nonsmoker",VLOOKUP(PolicyholdersSimulation!J254,PremiumTable!$M$4:$P$41,4,FALSE),VLOOKUP(PolicyholdersSimulation!J254,PremiumTable!$S$4:$V$41,4,FALSE))</f>
        <v>86.835735543592065</v>
      </c>
    </row>
    <row r="255" spans="1:13" x14ac:dyDescent="0.3">
      <c r="A255">
        <v>230</v>
      </c>
      <c r="B255">
        <v>38</v>
      </c>
      <c r="C255">
        <f t="shared" si="12"/>
        <v>38</v>
      </c>
      <c r="D255">
        <v>0.27894972852749589</v>
      </c>
      <c r="E255" t="str">
        <f t="shared" si="14"/>
        <v>Nonsmoker</v>
      </c>
      <c r="F255">
        <f>IF(E255="Nonsmoker",VLOOKUP(PolicyholdersSimulation!C255,PremiumTable!$A$4:$D$41,4,FALSE),VLOOKUP(PolicyholdersSimulation!C255,PremiumTable!$G$4:$J$41,4,FALSE))</f>
        <v>138.40856497239142</v>
      </c>
      <c r="H255">
        <v>230</v>
      </c>
      <c r="I255">
        <v>33</v>
      </c>
      <c r="J255">
        <f t="shared" si="13"/>
        <v>33</v>
      </c>
      <c r="K255">
        <v>0.86482998312218395</v>
      </c>
      <c r="L255" t="str">
        <f t="shared" si="15"/>
        <v>Nonsmoker</v>
      </c>
      <c r="M255">
        <f>IF(L255="Nonsmoker",VLOOKUP(PolicyholdersSimulation!J255,PremiumTable!$M$4:$P$41,4,FALSE),VLOOKUP(PolicyholdersSimulation!J255,PremiumTable!$S$4:$V$41,4,FALSE))</f>
        <v>97.645038306373721</v>
      </c>
    </row>
    <row r="256" spans="1:13" x14ac:dyDescent="0.3">
      <c r="A256">
        <v>231</v>
      </c>
      <c r="B256">
        <v>39</v>
      </c>
      <c r="C256">
        <f t="shared" si="12"/>
        <v>39</v>
      </c>
      <c r="D256">
        <v>8.075889304175643E-2</v>
      </c>
      <c r="E256" t="str">
        <f t="shared" si="14"/>
        <v>Smoker</v>
      </c>
      <c r="F256">
        <f>IF(E256="Nonsmoker",VLOOKUP(PolicyholdersSimulation!C256,PremiumTable!$A$4:$D$41,4,FALSE),VLOOKUP(PolicyholdersSimulation!C256,PremiumTable!$G$4:$J$41,4,FALSE))</f>
        <v>303.5263187253961</v>
      </c>
      <c r="H256">
        <v>231</v>
      </c>
      <c r="I256">
        <v>27</v>
      </c>
      <c r="J256">
        <f t="shared" si="13"/>
        <v>27</v>
      </c>
      <c r="K256">
        <v>0.85606539236662571</v>
      </c>
      <c r="L256" t="str">
        <f t="shared" si="15"/>
        <v>Nonsmoker</v>
      </c>
      <c r="M256">
        <f>IF(L256="Nonsmoker",VLOOKUP(PolicyholdersSimulation!J256,PremiumTable!$M$4:$P$41,4,FALSE),VLOOKUP(PolicyholdersSimulation!J256,PremiumTable!$S$4:$V$41,4,FALSE))</f>
        <v>80.233973036058572</v>
      </c>
    </row>
    <row r="257" spans="1:13" x14ac:dyDescent="0.3">
      <c r="A257">
        <v>232</v>
      </c>
      <c r="B257">
        <v>43</v>
      </c>
      <c r="C257">
        <f t="shared" si="12"/>
        <v>43</v>
      </c>
      <c r="D257">
        <v>0.32045009180760853</v>
      </c>
      <c r="E257" t="str">
        <f t="shared" si="14"/>
        <v>Nonsmoker</v>
      </c>
      <c r="F257">
        <f>IF(E257="Nonsmoker",VLOOKUP(PolicyholdersSimulation!C257,PremiumTable!$A$4:$D$41,4,FALSE),VLOOKUP(PolicyholdersSimulation!C257,PremiumTable!$G$4:$J$41,4,FALSE))</f>
        <v>187.89384537033465</v>
      </c>
      <c r="H257">
        <v>232</v>
      </c>
      <c r="I257">
        <v>38</v>
      </c>
      <c r="J257">
        <f t="shared" si="13"/>
        <v>38</v>
      </c>
      <c r="K257">
        <v>0.68925965302122982</v>
      </c>
      <c r="L257" t="str">
        <f t="shared" si="15"/>
        <v>Nonsmoker</v>
      </c>
      <c r="M257">
        <f>IF(L257="Nonsmoker",VLOOKUP(PolicyholdersSimulation!J257,PremiumTable!$M$4:$P$41,4,FALSE),VLOOKUP(PolicyholdersSimulation!J257,PremiumTable!$S$4:$V$41,4,FALSE))</f>
        <v>121.28464715590727</v>
      </c>
    </row>
    <row r="258" spans="1:13" x14ac:dyDescent="0.3">
      <c r="A258">
        <v>233</v>
      </c>
      <c r="B258">
        <v>42</v>
      </c>
      <c r="C258">
        <f t="shared" si="12"/>
        <v>42</v>
      </c>
      <c r="D258">
        <v>0.60629927582369036</v>
      </c>
      <c r="E258" t="str">
        <f t="shared" si="14"/>
        <v>Nonsmoker</v>
      </c>
      <c r="F258">
        <f>IF(E258="Nonsmoker",VLOOKUP(PolicyholdersSimulation!C258,PremiumTable!$A$4:$D$41,4,FALSE),VLOOKUP(PolicyholdersSimulation!C258,PremiumTable!$G$4:$J$41,4,FALSE))</f>
        <v>177.00343034109287</v>
      </c>
      <c r="H258">
        <v>233</v>
      </c>
      <c r="I258">
        <v>33</v>
      </c>
      <c r="J258">
        <f t="shared" si="13"/>
        <v>33</v>
      </c>
      <c r="K258">
        <v>0.34996298529494685</v>
      </c>
      <c r="L258" t="str">
        <f t="shared" si="15"/>
        <v>Nonsmoker</v>
      </c>
      <c r="M258">
        <f>IF(L258="Nonsmoker",VLOOKUP(PolicyholdersSimulation!J258,PremiumTable!$M$4:$P$41,4,FALSE),VLOOKUP(PolicyholdersSimulation!J258,PremiumTable!$S$4:$V$41,4,FALSE))</f>
        <v>97.645038306373721</v>
      </c>
    </row>
    <row r="259" spans="1:13" x14ac:dyDescent="0.3">
      <c r="A259">
        <v>234</v>
      </c>
      <c r="B259">
        <v>37</v>
      </c>
      <c r="C259">
        <f t="shared" si="12"/>
        <v>37</v>
      </c>
      <c r="D259">
        <v>0.45819800850739545</v>
      </c>
      <c r="E259" t="str">
        <f t="shared" si="14"/>
        <v>Nonsmoker</v>
      </c>
      <c r="F259">
        <f>IF(E259="Nonsmoker",VLOOKUP(PolicyholdersSimulation!C259,PremiumTable!$A$4:$D$41,4,FALSE),VLOOKUP(PolicyholdersSimulation!C259,PremiumTable!$G$4:$J$41,4,FALSE))</f>
        <v>131.04073052327638</v>
      </c>
      <c r="H259">
        <v>234</v>
      </c>
      <c r="I259">
        <v>31</v>
      </c>
      <c r="J259">
        <f t="shared" si="13"/>
        <v>31</v>
      </c>
      <c r="K259">
        <v>0.87138006718538297</v>
      </c>
      <c r="L259" t="str">
        <f t="shared" si="15"/>
        <v>Nonsmoker</v>
      </c>
      <c r="M259">
        <f>IF(L259="Nonsmoker",VLOOKUP(PolicyholdersSimulation!J259,PremiumTable!$M$4:$P$41,4,FALSE),VLOOKUP(PolicyholdersSimulation!J259,PremiumTable!$S$4:$V$41,4,FALSE))</f>
        <v>90.615055552142564</v>
      </c>
    </row>
    <row r="260" spans="1:13" x14ac:dyDescent="0.3">
      <c r="A260">
        <v>235</v>
      </c>
      <c r="B260">
        <v>30</v>
      </c>
      <c r="C260">
        <f t="shared" si="12"/>
        <v>30</v>
      </c>
      <c r="D260">
        <v>1.7534701658698193E-2</v>
      </c>
      <c r="E260" t="str">
        <f t="shared" si="14"/>
        <v>Smoker</v>
      </c>
      <c r="F260">
        <f>IF(E260="Nonsmoker",VLOOKUP(PolicyholdersSimulation!C260,PremiumTable!$A$4:$D$41,4,FALSE),VLOOKUP(PolicyholdersSimulation!C260,PremiumTable!$G$4:$J$41,4,FALSE))</f>
        <v>177.22130360568556</v>
      </c>
      <c r="H260">
        <v>235</v>
      </c>
      <c r="I260">
        <v>26</v>
      </c>
      <c r="J260">
        <f t="shared" si="13"/>
        <v>26</v>
      </c>
      <c r="K260">
        <v>0.36172982755918048</v>
      </c>
      <c r="L260" t="str">
        <f t="shared" si="15"/>
        <v>Nonsmoker</v>
      </c>
      <c r="M260">
        <f>IF(L260="Nonsmoker",VLOOKUP(PolicyholdersSimulation!J260,PremiumTable!$M$4:$P$41,4,FALSE),VLOOKUP(PolicyholdersSimulation!J260,PremiumTable!$S$4:$V$41,4,FALSE))</f>
        <v>78.904303039663105</v>
      </c>
    </row>
    <row r="261" spans="1:13" x14ac:dyDescent="0.3">
      <c r="A261">
        <v>236</v>
      </c>
      <c r="B261">
        <v>32</v>
      </c>
      <c r="C261">
        <f t="shared" si="12"/>
        <v>32</v>
      </c>
      <c r="D261">
        <v>0.8579036932896289</v>
      </c>
      <c r="E261" t="str">
        <f t="shared" si="14"/>
        <v>Nonsmoker</v>
      </c>
      <c r="F261">
        <f>IF(E261="Nonsmoker",VLOOKUP(PolicyholdersSimulation!C261,PremiumTable!$A$4:$D$41,4,FALSE),VLOOKUP(PolicyholdersSimulation!C261,PremiumTable!$G$4:$J$41,4,FALSE))</f>
        <v>104.12568156832383</v>
      </c>
      <c r="H261">
        <v>236</v>
      </c>
      <c r="I261">
        <v>28</v>
      </c>
      <c r="J261">
        <f t="shared" si="13"/>
        <v>28</v>
      </c>
      <c r="K261">
        <v>0.15738263478569581</v>
      </c>
      <c r="L261" t="str">
        <f t="shared" si="15"/>
        <v>Smoker</v>
      </c>
      <c r="M261">
        <f>IF(L261="Nonsmoker",VLOOKUP(PolicyholdersSimulation!J261,PremiumTable!$M$4:$P$41,4,FALSE),VLOOKUP(PolicyholdersSimulation!J261,PremiumTable!$S$4:$V$41,4,FALSE))</f>
        <v>123.88486180420303</v>
      </c>
    </row>
    <row r="262" spans="1:13" x14ac:dyDescent="0.3">
      <c r="A262">
        <v>237</v>
      </c>
      <c r="B262">
        <v>30</v>
      </c>
      <c r="C262">
        <f t="shared" si="12"/>
        <v>30</v>
      </c>
      <c r="D262">
        <v>0.8609438966848173</v>
      </c>
      <c r="E262" t="str">
        <f t="shared" si="14"/>
        <v>Nonsmoker</v>
      </c>
      <c r="F262">
        <f>IF(E262="Nonsmoker",VLOOKUP(PolicyholdersSimulation!C262,PremiumTable!$A$4:$D$41,4,FALSE),VLOOKUP(PolicyholdersSimulation!C262,PremiumTable!$G$4:$J$41,4,FALSE))</f>
        <v>98.268933119823288</v>
      </c>
      <c r="H262">
        <v>237</v>
      </c>
      <c r="I262">
        <v>34</v>
      </c>
      <c r="J262">
        <f t="shared" si="13"/>
        <v>34</v>
      </c>
      <c r="K262">
        <v>8.0352447432115115E-2</v>
      </c>
      <c r="L262" t="str">
        <f t="shared" si="15"/>
        <v>Smoker</v>
      </c>
      <c r="M262">
        <f>IF(L262="Nonsmoker",VLOOKUP(PolicyholdersSimulation!J262,PremiumTable!$M$4:$P$41,4,FALSE),VLOOKUP(PolicyholdersSimulation!J262,PremiumTable!$S$4:$V$41,4,FALSE))</f>
        <v>185.08354022082776</v>
      </c>
    </row>
    <row r="263" spans="1:13" x14ac:dyDescent="0.3">
      <c r="A263">
        <v>238</v>
      </c>
      <c r="B263">
        <v>37</v>
      </c>
      <c r="C263">
        <f t="shared" si="12"/>
        <v>37</v>
      </c>
      <c r="D263">
        <v>0.90185990500003554</v>
      </c>
      <c r="E263" t="str">
        <f t="shared" si="14"/>
        <v>Nonsmoker</v>
      </c>
      <c r="F263">
        <f>IF(E263="Nonsmoker",VLOOKUP(PolicyholdersSimulation!C263,PremiumTable!$A$4:$D$41,4,FALSE),VLOOKUP(PolicyholdersSimulation!C263,PremiumTable!$G$4:$J$41,4,FALSE))</f>
        <v>131.04073052327638</v>
      </c>
      <c r="H263">
        <v>238</v>
      </c>
      <c r="I263">
        <v>33</v>
      </c>
      <c r="J263">
        <f t="shared" si="13"/>
        <v>33</v>
      </c>
      <c r="K263">
        <v>0.84729986169243166</v>
      </c>
      <c r="L263" t="str">
        <f t="shared" si="15"/>
        <v>Nonsmoker</v>
      </c>
      <c r="M263">
        <f>IF(L263="Nonsmoker",VLOOKUP(PolicyholdersSimulation!J263,PremiumTable!$M$4:$P$41,4,FALSE),VLOOKUP(PolicyholdersSimulation!J263,PremiumTable!$S$4:$V$41,4,FALSE))</f>
        <v>97.645038306373721</v>
      </c>
    </row>
    <row r="264" spans="1:13" x14ac:dyDescent="0.3">
      <c r="A264">
        <v>239</v>
      </c>
      <c r="B264">
        <v>33</v>
      </c>
      <c r="C264">
        <f t="shared" si="12"/>
        <v>33</v>
      </c>
      <c r="D264">
        <v>0.23684820010335472</v>
      </c>
      <c r="E264" t="str">
        <f t="shared" si="14"/>
        <v>Nonsmoker</v>
      </c>
      <c r="F264">
        <f>IF(E264="Nonsmoker",VLOOKUP(PolicyholdersSimulation!C264,PremiumTable!$A$4:$D$41,4,FALSE),VLOOKUP(PolicyholdersSimulation!C264,PremiumTable!$G$4:$J$41,4,FALSE))</f>
        <v>108.39931664719025</v>
      </c>
      <c r="H264">
        <v>239</v>
      </c>
      <c r="I264">
        <v>33</v>
      </c>
      <c r="J264">
        <f t="shared" si="13"/>
        <v>33</v>
      </c>
      <c r="K264">
        <v>0.9829929412037679</v>
      </c>
      <c r="L264" t="str">
        <f t="shared" si="15"/>
        <v>Nonsmoker</v>
      </c>
      <c r="M264">
        <f>IF(L264="Nonsmoker",VLOOKUP(PolicyholdersSimulation!J264,PremiumTable!$M$4:$P$41,4,FALSE),VLOOKUP(PolicyholdersSimulation!J264,PremiumTable!$S$4:$V$41,4,FALSE))</f>
        <v>97.645038306373721</v>
      </c>
    </row>
    <row r="265" spans="1:13" x14ac:dyDescent="0.3">
      <c r="A265">
        <v>240</v>
      </c>
      <c r="B265">
        <v>28</v>
      </c>
      <c r="C265">
        <f t="shared" si="12"/>
        <v>28</v>
      </c>
      <c r="D265">
        <v>0.24618755416681226</v>
      </c>
      <c r="E265" t="str">
        <f t="shared" si="14"/>
        <v>Nonsmoker</v>
      </c>
      <c r="F265">
        <f>IF(E265="Nonsmoker",VLOOKUP(PolicyholdersSimulation!C265,PremiumTable!$A$4:$D$41,4,FALSE),VLOOKUP(PolicyholdersSimulation!C265,PremiumTable!$G$4:$J$41,4,FALSE))</f>
        <v>97.344900542817271</v>
      </c>
      <c r="H265">
        <v>240</v>
      </c>
      <c r="I265">
        <v>34</v>
      </c>
      <c r="J265">
        <f t="shared" si="13"/>
        <v>34</v>
      </c>
      <c r="K265">
        <v>0.37207964076528988</v>
      </c>
      <c r="L265" t="str">
        <f t="shared" si="15"/>
        <v>Nonsmoker</v>
      </c>
      <c r="M265">
        <f>IF(L265="Nonsmoker",VLOOKUP(PolicyholdersSimulation!J265,PremiumTable!$M$4:$P$41,4,FALSE),VLOOKUP(PolicyholdersSimulation!J265,PremiumTable!$S$4:$V$41,4,FALSE))</f>
        <v>101.73968585979277</v>
      </c>
    </row>
    <row r="266" spans="1:13" x14ac:dyDescent="0.3">
      <c r="A266">
        <v>241</v>
      </c>
      <c r="B266">
        <v>40</v>
      </c>
      <c r="C266">
        <f t="shared" si="12"/>
        <v>40</v>
      </c>
      <c r="D266">
        <v>0.16911994265039099</v>
      </c>
      <c r="E266" t="str">
        <f t="shared" si="14"/>
        <v>Smoker</v>
      </c>
      <c r="F266">
        <f>IF(E266="Nonsmoker",VLOOKUP(PolicyholdersSimulation!C266,PremiumTable!$A$4:$D$41,4,FALSE),VLOOKUP(PolicyholdersSimulation!C266,PremiumTable!$G$4:$J$41,4,FALSE))</f>
        <v>327.89395065214273</v>
      </c>
      <c r="H266">
        <v>241</v>
      </c>
      <c r="I266">
        <v>26</v>
      </c>
      <c r="J266">
        <f t="shared" si="13"/>
        <v>26</v>
      </c>
      <c r="K266">
        <v>0.5600374608116151</v>
      </c>
      <c r="L266" t="str">
        <f t="shared" si="15"/>
        <v>Nonsmoker</v>
      </c>
      <c r="M266">
        <f>IF(L266="Nonsmoker",VLOOKUP(PolicyholdersSimulation!J266,PremiumTable!$M$4:$P$41,4,FALSE),VLOOKUP(PolicyholdersSimulation!J266,PremiumTable!$S$4:$V$41,4,FALSE))</f>
        <v>78.904303039663105</v>
      </c>
    </row>
    <row r="267" spans="1:13" x14ac:dyDescent="0.3">
      <c r="A267">
        <v>242</v>
      </c>
      <c r="B267">
        <v>39</v>
      </c>
      <c r="C267">
        <f t="shared" si="12"/>
        <v>39</v>
      </c>
      <c r="D267">
        <v>0.7869057594026978</v>
      </c>
      <c r="E267" t="str">
        <f t="shared" si="14"/>
        <v>Nonsmoker</v>
      </c>
      <c r="F267">
        <f>IF(E267="Nonsmoker",VLOOKUP(PolicyholdersSimulation!C267,PremiumTable!$A$4:$D$41,4,FALSE),VLOOKUP(PolicyholdersSimulation!C267,PremiumTable!$G$4:$J$41,4,FALSE))</f>
        <v>147.47819581803472</v>
      </c>
      <c r="H267">
        <v>242</v>
      </c>
      <c r="I267">
        <v>36</v>
      </c>
      <c r="J267">
        <f t="shared" si="13"/>
        <v>36</v>
      </c>
      <c r="K267">
        <v>0.18248456718578865</v>
      </c>
      <c r="L267" t="str">
        <f t="shared" si="15"/>
        <v>Smoker</v>
      </c>
      <c r="M267">
        <f>IF(L267="Nonsmoker",VLOOKUP(PolicyholdersSimulation!J267,PremiumTable!$M$4:$P$41,4,FALSE),VLOOKUP(PolicyholdersSimulation!J267,PremiumTable!$S$4:$V$41,4,FALSE))</f>
        <v>208.90622153136135</v>
      </c>
    </row>
    <row r="268" spans="1:13" x14ac:dyDescent="0.3">
      <c r="A268">
        <v>243</v>
      </c>
      <c r="B268">
        <v>25</v>
      </c>
      <c r="C268">
        <f t="shared" si="12"/>
        <v>25</v>
      </c>
      <c r="D268">
        <v>0.24625607032123176</v>
      </c>
      <c r="E268" t="str">
        <f t="shared" si="14"/>
        <v>Nonsmoker</v>
      </c>
      <c r="F268">
        <f>IF(E268="Nonsmoker",VLOOKUP(PolicyholdersSimulation!C268,PremiumTable!$A$4:$D$41,4,FALSE),VLOOKUP(PolicyholdersSimulation!C268,PremiumTable!$G$4:$J$41,4,FALSE))</f>
        <v>96.273482117369966</v>
      </c>
      <c r="H268">
        <v>243</v>
      </c>
      <c r="I268">
        <v>28</v>
      </c>
      <c r="J268">
        <f t="shared" si="13"/>
        <v>28</v>
      </c>
      <c r="K268">
        <v>0.28415032957371</v>
      </c>
      <c r="L268" t="str">
        <f t="shared" si="15"/>
        <v>Nonsmoker</v>
      </c>
      <c r="M268">
        <f>IF(L268="Nonsmoker",VLOOKUP(PolicyholdersSimulation!J268,PremiumTable!$M$4:$P$41,4,FALSE),VLOOKUP(PolicyholdersSimulation!J268,PremiumTable!$S$4:$V$41,4,FALSE))</f>
        <v>81.666348165376135</v>
      </c>
    </row>
    <row r="269" spans="1:13" x14ac:dyDescent="0.3">
      <c r="A269">
        <v>244</v>
      </c>
      <c r="B269">
        <v>37</v>
      </c>
      <c r="C269">
        <f t="shared" si="12"/>
        <v>37</v>
      </c>
      <c r="D269">
        <v>4.6658572330003034E-2</v>
      </c>
      <c r="E269" t="str">
        <f t="shared" si="14"/>
        <v>Smoker</v>
      </c>
      <c r="F269">
        <f>IF(E269="Nonsmoker",VLOOKUP(PolicyholdersSimulation!C269,PremiumTable!$A$4:$D$41,4,FALSE),VLOOKUP(PolicyholdersSimulation!C269,PremiumTable!$G$4:$J$41,4,FALSE))</f>
        <v>264.73732833952022</v>
      </c>
      <c r="H269">
        <v>244</v>
      </c>
      <c r="I269">
        <v>35</v>
      </c>
      <c r="J269">
        <f t="shared" si="13"/>
        <v>35</v>
      </c>
      <c r="K269">
        <v>0.65837640224364669</v>
      </c>
      <c r="L269" t="str">
        <f t="shared" si="15"/>
        <v>Nonsmoker</v>
      </c>
      <c r="M269">
        <f>IF(L269="Nonsmoker",VLOOKUP(PolicyholdersSimulation!J269,PremiumTable!$M$4:$P$41,4,FALSE),VLOOKUP(PolicyholdersSimulation!J269,PremiumTable!$S$4:$V$41,4,FALSE))</f>
        <v>106.37942043914147</v>
      </c>
    </row>
    <row r="270" spans="1:13" x14ac:dyDescent="0.3">
      <c r="A270">
        <v>245</v>
      </c>
      <c r="B270">
        <v>40</v>
      </c>
      <c r="C270">
        <f t="shared" si="12"/>
        <v>40</v>
      </c>
      <c r="D270">
        <v>0.45960059718761526</v>
      </c>
      <c r="E270" t="str">
        <f t="shared" si="14"/>
        <v>Nonsmoker</v>
      </c>
      <c r="F270">
        <f>IF(E270="Nonsmoker",VLOOKUP(PolicyholdersSimulation!C270,PremiumTable!$A$4:$D$41,4,FALSE),VLOOKUP(PolicyholdersSimulation!C270,PremiumTable!$G$4:$J$41,4,FALSE))</f>
        <v>157.14195579270111</v>
      </c>
      <c r="H270">
        <v>245</v>
      </c>
      <c r="I270">
        <v>25</v>
      </c>
      <c r="J270">
        <f t="shared" si="13"/>
        <v>25</v>
      </c>
      <c r="K270">
        <v>0.91025770461298694</v>
      </c>
      <c r="L270" t="str">
        <f t="shared" si="15"/>
        <v>Nonsmoker</v>
      </c>
      <c r="M270">
        <f>IF(L270="Nonsmoker",VLOOKUP(PolicyholdersSimulation!J270,PremiumTable!$M$4:$P$41,4,FALSE),VLOOKUP(PolicyholdersSimulation!J270,PremiumTable!$S$4:$V$41,4,FALSE))</f>
        <v>78.502715161507126</v>
      </c>
    </row>
    <row r="271" spans="1:13" x14ac:dyDescent="0.3">
      <c r="A271">
        <v>246</v>
      </c>
      <c r="B271">
        <v>41</v>
      </c>
      <c r="C271">
        <f t="shared" si="12"/>
        <v>41</v>
      </c>
      <c r="D271">
        <v>0.73869328169067572</v>
      </c>
      <c r="E271" t="str">
        <f t="shared" si="14"/>
        <v>Nonsmoker</v>
      </c>
      <c r="F271">
        <f>IF(E271="Nonsmoker",VLOOKUP(PolicyholdersSimulation!C271,PremiumTable!$A$4:$D$41,4,FALSE),VLOOKUP(PolicyholdersSimulation!C271,PremiumTable!$G$4:$J$41,4,FALSE))</f>
        <v>167.10777343661104</v>
      </c>
      <c r="H271">
        <v>246</v>
      </c>
      <c r="I271">
        <v>34</v>
      </c>
      <c r="J271">
        <f t="shared" si="13"/>
        <v>34</v>
      </c>
      <c r="K271">
        <v>0.17514717632147536</v>
      </c>
      <c r="L271" t="str">
        <f t="shared" si="15"/>
        <v>Smoker</v>
      </c>
      <c r="M271">
        <f>IF(L271="Nonsmoker",VLOOKUP(PolicyholdersSimulation!J271,PremiumTable!$M$4:$P$41,4,FALSE),VLOOKUP(PolicyholdersSimulation!J271,PremiumTable!$S$4:$V$41,4,FALSE))</f>
        <v>185.08354022082776</v>
      </c>
    </row>
    <row r="272" spans="1:13" x14ac:dyDescent="0.3">
      <c r="A272">
        <v>247</v>
      </c>
      <c r="B272">
        <v>35</v>
      </c>
      <c r="C272">
        <f t="shared" si="12"/>
        <v>35</v>
      </c>
      <c r="D272">
        <v>0.99958141834824321</v>
      </c>
      <c r="E272" t="str">
        <f t="shared" si="14"/>
        <v>Nonsmoker</v>
      </c>
      <c r="F272">
        <f>IF(E272="Nonsmoker",VLOOKUP(PolicyholdersSimulation!C272,PremiumTable!$A$4:$D$41,4,FALSE),VLOOKUP(PolicyholdersSimulation!C272,PremiumTable!$G$4:$J$41,4,FALSE))</f>
        <v>118.66696776486694</v>
      </c>
      <c r="H272">
        <v>247</v>
      </c>
      <c r="I272">
        <v>24</v>
      </c>
      <c r="J272">
        <f t="shared" si="13"/>
        <v>24</v>
      </c>
      <c r="K272">
        <v>0.85305602558342764</v>
      </c>
      <c r="L272" t="str">
        <f t="shared" si="15"/>
        <v>Nonsmoker</v>
      </c>
      <c r="M272">
        <f>IF(L272="Nonsmoker",VLOOKUP(PolicyholdersSimulation!J272,PremiumTable!$M$4:$P$41,4,FALSE),VLOOKUP(PolicyholdersSimulation!J272,PremiumTable!$S$4:$V$41,4,FALSE))</f>
        <v>79.12344116938408</v>
      </c>
    </row>
    <row r="273" spans="1:13" x14ac:dyDescent="0.3">
      <c r="A273">
        <v>248</v>
      </c>
      <c r="B273">
        <v>30</v>
      </c>
      <c r="C273">
        <f t="shared" si="12"/>
        <v>30</v>
      </c>
      <c r="D273">
        <v>0.173133386441782</v>
      </c>
      <c r="E273" t="str">
        <f t="shared" si="14"/>
        <v>Smoker</v>
      </c>
      <c r="F273">
        <f>IF(E273="Nonsmoker",VLOOKUP(PolicyholdersSimulation!C273,PremiumTable!$A$4:$D$41,4,FALSE),VLOOKUP(PolicyholdersSimulation!C273,PremiumTable!$G$4:$J$41,4,FALSE))</f>
        <v>177.22130360568556</v>
      </c>
      <c r="H273">
        <v>248</v>
      </c>
      <c r="I273">
        <v>34</v>
      </c>
      <c r="J273">
        <f t="shared" si="13"/>
        <v>34</v>
      </c>
      <c r="K273">
        <v>0.83679645922698664</v>
      </c>
      <c r="L273" t="str">
        <f t="shared" si="15"/>
        <v>Nonsmoker</v>
      </c>
      <c r="M273">
        <f>IF(L273="Nonsmoker",VLOOKUP(PolicyholdersSimulation!J273,PremiumTable!$M$4:$P$41,4,FALSE),VLOOKUP(PolicyholdersSimulation!J273,PremiumTable!$S$4:$V$41,4,FALSE))</f>
        <v>101.73968585979277</v>
      </c>
    </row>
    <row r="274" spans="1:13" x14ac:dyDescent="0.3">
      <c r="A274">
        <v>249</v>
      </c>
      <c r="B274">
        <v>34</v>
      </c>
      <c r="C274">
        <f t="shared" si="12"/>
        <v>34</v>
      </c>
      <c r="D274">
        <v>0.70343748577974541</v>
      </c>
      <c r="E274" t="str">
        <f t="shared" si="14"/>
        <v>Nonsmoker</v>
      </c>
      <c r="F274">
        <f>IF(E274="Nonsmoker",VLOOKUP(PolicyholdersSimulation!C274,PremiumTable!$A$4:$D$41,4,FALSE),VLOOKUP(PolicyholdersSimulation!C274,PremiumTable!$G$4:$J$41,4,FALSE))</f>
        <v>113.54812871502432</v>
      </c>
      <c r="H274">
        <v>249</v>
      </c>
      <c r="I274">
        <v>37</v>
      </c>
      <c r="J274">
        <f t="shared" si="13"/>
        <v>37</v>
      </c>
      <c r="K274">
        <v>0.63950780964506193</v>
      </c>
      <c r="L274" t="str">
        <f t="shared" si="15"/>
        <v>Nonsmoker</v>
      </c>
      <c r="M274">
        <f>IF(L274="Nonsmoker",VLOOKUP(PolicyholdersSimulation!J274,PremiumTable!$M$4:$P$41,4,FALSE),VLOOKUP(PolicyholdersSimulation!J274,PremiumTable!$S$4:$V$41,4,FALSE))</f>
        <v>116.32337590156675</v>
      </c>
    </row>
    <row r="275" spans="1:13" x14ac:dyDescent="0.3">
      <c r="A275">
        <v>250</v>
      </c>
      <c r="B275">
        <v>38</v>
      </c>
      <c r="C275">
        <f t="shared" si="12"/>
        <v>38</v>
      </c>
      <c r="D275">
        <v>0.38012995659599702</v>
      </c>
      <c r="E275" t="str">
        <f t="shared" si="14"/>
        <v>Nonsmoker</v>
      </c>
      <c r="F275">
        <f>IF(E275="Nonsmoker",VLOOKUP(PolicyholdersSimulation!C275,PremiumTable!$A$4:$D$41,4,FALSE),VLOOKUP(PolicyholdersSimulation!C275,PremiumTable!$G$4:$J$41,4,FALSE))</f>
        <v>138.40856497239142</v>
      </c>
      <c r="H275">
        <v>250</v>
      </c>
      <c r="I275">
        <v>47</v>
      </c>
      <c r="J275">
        <f t="shared" si="13"/>
        <v>47</v>
      </c>
      <c r="K275">
        <v>0.84013097242597978</v>
      </c>
      <c r="L275" t="str">
        <f t="shared" si="15"/>
        <v>Nonsmoker</v>
      </c>
      <c r="M275">
        <f>IF(L275="Nonsmoker",VLOOKUP(PolicyholdersSimulation!J275,PremiumTable!$M$4:$P$41,4,FALSE),VLOOKUP(PolicyholdersSimulation!J275,PremiumTable!$S$4:$V$41,4,FALSE))</f>
        <v>199.62245755640905</v>
      </c>
    </row>
    <row r="276" spans="1:13" x14ac:dyDescent="0.3">
      <c r="A276">
        <v>251</v>
      </c>
      <c r="B276">
        <v>32</v>
      </c>
      <c r="C276">
        <f t="shared" si="12"/>
        <v>32</v>
      </c>
      <c r="D276">
        <v>0.64734809609739596</v>
      </c>
      <c r="E276" t="str">
        <f t="shared" si="14"/>
        <v>Nonsmoker</v>
      </c>
      <c r="F276">
        <f>IF(E276="Nonsmoker",VLOOKUP(PolicyholdersSimulation!C276,PremiumTable!$A$4:$D$41,4,FALSE),VLOOKUP(PolicyholdersSimulation!C276,PremiumTable!$G$4:$J$41,4,FALSE))</f>
        <v>104.12568156832383</v>
      </c>
      <c r="H276">
        <v>251</v>
      </c>
      <c r="I276">
        <v>40</v>
      </c>
      <c r="J276">
        <f t="shared" si="13"/>
        <v>40</v>
      </c>
      <c r="K276">
        <v>0.27260049195197456</v>
      </c>
      <c r="L276" t="str">
        <f t="shared" si="15"/>
        <v>Nonsmoker</v>
      </c>
      <c r="M276">
        <f>IF(L276="Nonsmoker",VLOOKUP(PolicyholdersSimulation!J276,PremiumTable!$M$4:$P$41,4,FALSE),VLOOKUP(PolicyholdersSimulation!J276,PremiumTable!$S$4:$V$41,4,FALSE))</f>
        <v>133.66130890410457</v>
      </c>
    </row>
    <row r="277" spans="1:13" x14ac:dyDescent="0.3">
      <c r="A277">
        <v>252</v>
      </c>
      <c r="B277">
        <v>41</v>
      </c>
      <c r="C277">
        <f t="shared" si="12"/>
        <v>41</v>
      </c>
      <c r="D277">
        <v>0.30741910549622253</v>
      </c>
      <c r="E277" t="str">
        <f t="shared" si="14"/>
        <v>Nonsmoker</v>
      </c>
      <c r="F277">
        <f>IF(E277="Nonsmoker",VLOOKUP(PolicyholdersSimulation!C277,PremiumTable!$A$4:$D$41,4,FALSE),VLOOKUP(PolicyholdersSimulation!C277,PremiumTable!$G$4:$J$41,4,FALSE))</f>
        <v>167.10777343661104</v>
      </c>
      <c r="H277">
        <v>252</v>
      </c>
      <c r="I277">
        <v>26</v>
      </c>
      <c r="J277">
        <f t="shared" si="13"/>
        <v>26</v>
      </c>
      <c r="K277">
        <v>0.65592196745792952</v>
      </c>
      <c r="L277" t="str">
        <f t="shared" si="15"/>
        <v>Nonsmoker</v>
      </c>
      <c r="M277">
        <f>IF(L277="Nonsmoker",VLOOKUP(PolicyholdersSimulation!J277,PremiumTable!$M$4:$P$41,4,FALSE),VLOOKUP(PolicyholdersSimulation!J277,PremiumTable!$S$4:$V$41,4,FALSE))</f>
        <v>78.904303039663105</v>
      </c>
    </row>
    <row r="278" spans="1:13" x14ac:dyDescent="0.3">
      <c r="A278">
        <v>253</v>
      </c>
      <c r="B278">
        <v>42</v>
      </c>
      <c r="C278">
        <f t="shared" si="12"/>
        <v>42</v>
      </c>
      <c r="D278">
        <v>0.1057359581039925</v>
      </c>
      <c r="E278" t="str">
        <f t="shared" si="14"/>
        <v>Smoker</v>
      </c>
      <c r="F278">
        <f>IF(E278="Nonsmoker",VLOOKUP(PolicyholdersSimulation!C278,PremiumTable!$A$4:$D$41,4,FALSE),VLOOKUP(PolicyholdersSimulation!C278,PremiumTable!$G$4:$J$41,4,FALSE))</f>
        <v>387.89821102648176</v>
      </c>
      <c r="H278">
        <v>253</v>
      </c>
      <c r="I278">
        <v>27</v>
      </c>
      <c r="J278">
        <f t="shared" si="13"/>
        <v>27</v>
      </c>
      <c r="K278">
        <v>0.23551234250675557</v>
      </c>
      <c r="L278" t="str">
        <f t="shared" si="15"/>
        <v>Nonsmoker</v>
      </c>
      <c r="M278">
        <f>IF(L278="Nonsmoker",VLOOKUP(PolicyholdersSimulation!J278,PremiumTable!$M$4:$P$41,4,FALSE),VLOOKUP(PolicyholdersSimulation!J278,PremiumTable!$S$4:$V$41,4,FALSE))</f>
        <v>80.233973036058572</v>
      </c>
    </row>
    <row r="279" spans="1:13" x14ac:dyDescent="0.3">
      <c r="A279">
        <v>254</v>
      </c>
      <c r="B279">
        <v>35</v>
      </c>
      <c r="C279">
        <f t="shared" si="12"/>
        <v>35</v>
      </c>
      <c r="D279">
        <v>0.89368396335178379</v>
      </c>
      <c r="E279" t="str">
        <f t="shared" si="14"/>
        <v>Nonsmoker</v>
      </c>
      <c r="F279">
        <f>IF(E279="Nonsmoker",VLOOKUP(PolicyholdersSimulation!C279,PremiumTable!$A$4:$D$41,4,FALSE),VLOOKUP(PolicyholdersSimulation!C279,PremiumTable!$G$4:$J$41,4,FALSE))</f>
        <v>118.66696776486694</v>
      </c>
      <c r="H279">
        <v>254</v>
      </c>
      <c r="I279">
        <v>24</v>
      </c>
      <c r="J279">
        <f t="shared" si="13"/>
        <v>24</v>
      </c>
      <c r="K279">
        <v>0.97184890088182296</v>
      </c>
      <c r="L279" t="str">
        <f t="shared" si="15"/>
        <v>Nonsmoker</v>
      </c>
      <c r="M279">
        <f>IF(L279="Nonsmoker",VLOOKUP(PolicyholdersSimulation!J279,PremiumTable!$M$4:$P$41,4,FALSE),VLOOKUP(PolicyholdersSimulation!J279,PremiumTable!$S$4:$V$41,4,FALSE))</f>
        <v>79.12344116938408</v>
      </c>
    </row>
    <row r="280" spans="1:13" x14ac:dyDescent="0.3">
      <c r="A280">
        <v>255</v>
      </c>
      <c r="B280">
        <v>46</v>
      </c>
      <c r="C280">
        <f t="shared" si="12"/>
        <v>46</v>
      </c>
      <c r="D280">
        <v>0.37363923493285522</v>
      </c>
      <c r="E280" t="str">
        <f t="shared" si="14"/>
        <v>Nonsmoker</v>
      </c>
      <c r="F280">
        <f>IF(E280="Nonsmoker",VLOOKUP(PolicyholdersSimulation!C280,PremiumTable!$A$4:$D$41,4,FALSE),VLOOKUP(PolicyholdersSimulation!C280,PremiumTable!$G$4:$J$41,4,FALSE))</f>
        <v>229.57701919641352</v>
      </c>
      <c r="H280">
        <v>255</v>
      </c>
      <c r="I280">
        <v>37</v>
      </c>
      <c r="J280">
        <f t="shared" si="13"/>
        <v>37</v>
      </c>
      <c r="K280">
        <v>0.96853310823432204</v>
      </c>
      <c r="L280" t="str">
        <f t="shared" si="15"/>
        <v>Nonsmoker</v>
      </c>
      <c r="M280">
        <f>IF(L280="Nonsmoker",VLOOKUP(PolicyholdersSimulation!J280,PremiumTable!$M$4:$P$41,4,FALSE),VLOOKUP(PolicyholdersSimulation!J280,PremiumTable!$S$4:$V$41,4,FALSE))</f>
        <v>116.32337590156675</v>
      </c>
    </row>
    <row r="281" spans="1:13" x14ac:dyDescent="0.3">
      <c r="A281">
        <v>256</v>
      </c>
      <c r="B281">
        <v>40</v>
      </c>
      <c r="C281">
        <f t="shared" si="12"/>
        <v>40</v>
      </c>
      <c r="D281">
        <v>0.58040607776476405</v>
      </c>
      <c r="E281" t="str">
        <f t="shared" si="14"/>
        <v>Nonsmoker</v>
      </c>
      <c r="F281">
        <f>IF(E281="Nonsmoker",VLOOKUP(PolicyholdersSimulation!C281,PremiumTable!$A$4:$D$41,4,FALSE),VLOOKUP(PolicyholdersSimulation!C281,PremiumTable!$G$4:$J$41,4,FALSE))</f>
        <v>157.14195579270111</v>
      </c>
      <c r="H281">
        <v>256</v>
      </c>
      <c r="I281">
        <v>23</v>
      </c>
      <c r="J281">
        <f t="shared" si="13"/>
        <v>23</v>
      </c>
      <c r="K281">
        <v>0.62252644288408077</v>
      </c>
      <c r="L281" t="str">
        <f t="shared" si="15"/>
        <v>Nonsmoker</v>
      </c>
      <c r="M281">
        <f>IF(L281="Nonsmoker",VLOOKUP(PolicyholdersSimulation!J281,PremiumTable!$M$4:$P$41,4,FALSE),VLOOKUP(PolicyholdersSimulation!J281,PremiumTable!$S$4:$V$41,4,FALSE))</f>
        <v>80.885782895186097</v>
      </c>
    </row>
    <row r="282" spans="1:13" x14ac:dyDescent="0.3">
      <c r="A282">
        <v>257</v>
      </c>
      <c r="B282">
        <v>33</v>
      </c>
      <c r="C282">
        <f t="shared" ref="C282:C345" si="16">IF(B282&lt;num_min,num_min,IF(B282&gt;num_max,num_max,B282))</f>
        <v>33</v>
      </c>
      <c r="D282">
        <v>0.54381186925296576</v>
      </c>
      <c r="E282" t="str">
        <f t="shared" si="14"/>
        <v>Nonsmoker</v>
      </c>
      <c r="F282">
        <f>IF(E282="Nonsmoker",VLOOKUP(PolicyholdersSimulation!C282,PremiumTable!$A$4:$D$41,4,FALSE),VLOOKUP(PolicyholdersSimulation!C282,PremiumTable!$G$4:$J$41,4,FALSE))</f>
        <v>108.39931664719025</v>
      </c>
      <c r="H282">
        <v>257</v>
      </c>
      <c r="I282">
        <v>26</v>
      </c>
      <c r="J282">
        <f t="shared" ref="J282:J345" si="17">IF(I282&lt;num_min,num_min,IF(I282&gt;num_max,num_max,I282))</f>
        <v>26</v>
      </c>
      <c r="K282">
        <v>0.60329558686358042</v>
      </c>
      <c r="L282" t="str">
        <f t="shared" si="15"/>
        <v>Nonsmoker</v>
      </c>
      <c r="M282">
        <f>IF(L282="Nonsmoker",VLOOKUP(PolicyholdersSimulation!J282,PremiumTable!$M$4:$P$41,4,FALSE),VLOOKUP(PolicyholdersSimulation!J282,PremiumTable!$S$4:$V$41,4,FALSE))</f>
        <v>78.904303039663105</v>
      </c>
    </row>
    <row r="283" spans="1:13" x14ac:dyDescent="0.3">
      <c r="A283">
        <v>258</v>
      </c>
      <c r="B283">
        <v>37</v>
      </c>
      <c r="C283">
        <f t="shared" si="16"/>
        <v>37</v>
      </c>
      <c r="D283">
        <v>0.74406952852932617</v>
      </c>
      <c r="E283" t="str">
        <f t="shared" ref="E283:E346" si="18">IF(D283&lt;=0.2,"Smoker","Nonsmoker")</f>
        <v>Nonsmoker</v>
      </c>
      <c r="F283">
        <f>IF(E283="Nonsmoker",VLOOKUP(PolicyholdersSimulation!C283,PremiumTable!$A$4:$D$41,4,FALSE),VLOOKUP(PolicyholdersSimulation!C283,PremiumTable!$G$4:$J$41,4,FALSE))</f>
        <v>131.04073052327638</v>
      </c>
      <c r="H283">
        <v>258</v>
      </c>
      <c r="I283">
        <v>31</v>
      </c>
      <c r="J283">
        <f t="shared" si="17"/>
        <v>31</v>
      </c>
      <c r="K283">
        <v>0.35075119836693713</v>
      </c>
      <c r="L283" t="str">
        <f t="shared" ref="L283:L346" si="19">IF(K283&lt;=0.2,"Smoker","Nonsmoker")</f>
        <v>Nonsmoker</v>
      </c>
      <c r="M283">
        <f>IF(L283="Nonsmoker",VLOOKUP(PolicyholdersSimulation!J283,PremiumTable!$M$4:$P$41,4,FALSE),VLOOKUP(PolicyholdersSimulation!J283,PremiumTable!$S$4:$V$41,4,FALSE))</f>
        <v>90.615055552142564</v>
      </c>
    </row>
    <row r="284" spans="1:13" x14ac:dyDescent="0.3">
      <c r="A284">
        <v>259</v>
      </c>
      <c r="B284">
        <v>43</v>
      </c>
      <c r="C284">
        <f t="shared" si="16"/>
        <v>43</v>
      </c>
      <c r="D284">
        <v>0.14195387404542237</v>
      </c>
      <c r="E284" t="str">
        <f t="shared" si="18"/>
        <v>Smoker</v>
      </c>
      <c r="F284">
        <f>IF(E284="Nonsmoker",VLOOKUP(PolicyholdersSimulation!C284,PremiumTable!$A$4:$D$41,4,FALSE),VLOOKUP(PolicyholdersSimulation!C284,PremiumTable!$G$4:$J$41,4,FALSE))</f>
        <v>423.67875339275895</v>
      </c>
      <c r="H284">
        <v>259</v>
      </c>
      <c r="I284">
        <v>29</v>
      </c>
      <c r="J284">
        <f t="shared" si="17"/>
        <v>29</v>
      </c>
      <c r="K284">
        <v>0.6138071387437567</v>
      </c>
      <c r="L284" t="str">
        <f t="shared" si="19"/>
        <v>Nonsmoker</v>
      </c>
      <c r="M284">
        <f>IF(L284="Nonsmoker",VLOOKUP(PolicyholdersSimulation!J284,PremiumTable!$M$4:$P$41,4,FALSE),VLOOKUP(PolicyholdersSimulation!J284,PremiumTable!$S$4:$V$41,4,FALSE))</f>
        <v>84.42413832124069</v>
      </c>
    </row>
    <row r="285" spans="1:13" x14ac:dyDescent="0.3">
      <c r="A285">
        <v>260</v>
      </c>
      <c r="B285">
        <v>20</v>
      </c>
      <c r="C285">
        <f t="shared" si="16"/>
        <v>20</v>
      </c>
      <c r="D285">
        <v>0.36247140115654564</v>
      </c>
      <c r="E285" t="str">
        <f t="shared" si="18"/>
        <v>Nonsmoker</v>
      </c>
      <c r="F285">
        <f>IF(E285="Nonsmoker",VLOOKUP(PolicyholdersSimulation!C285,PremiumTable!$A$4:$D$41,4,FALSE),VLOOKUP(PolicyholdersSimulation!C285,PremiumTable!$G$4:$J$41,4,FALSE))</f>
        <v>138.93464984623427</v>
      </c>
      <c r="H285">
        <v>260</v>
      </c>
      <c r="I285">
        <v>33</v>
      </c>
      <c r="J285">
        <f t="shared" si="17"/>
        <v>33</v>
      </c>
      <c r="K285">
        <v>0.80728206388420243</v>
      </c>
      <c r="L285" t="str">
        <f t="shared" si="19"/>
        <v>Nonsmoker</v>
      </c>
      <c r="M285">
        <f>IF(L285="Nonsmoker",VLOOKUP(PolicyholdersSimulation!J285,PremiumTable!$M$4:$P$41,4,FALSE),VLOOKUP(PolicyholdersSimulation!J285,PremiumTable!$S$4:$V$41,4,FALSE))</f>
        <v>97.645038306373721</v>
      </c>
    </row>
    <row r="286" spans="1:13" x14ac:dyDescent="0.3">
      <c r="A286">
        <v>261</v>
      </c>
      <c r="B286">
        <v>29</v>
      </c>
      <c r="C286">
        <f t="shared" si="16"/>
        <v>29</v>
      </c>
      <c r="D286">
        <v>0.77327866720854699</v>
      </c>
      <c r="E286" t="str">
        <f t="shared" si="18"/>
        <v>Nonsmoker</v>
      </c>
      <c r="F286">
        <f>IF(E286="Nonsmoker",VLOOKUP(PolicyholdersSimulation!C286,PremiumTable!$A$4:$D$41,4,FALSE),VLOOKUP(PolicyholdersSimulation!C286,PremiumTable!$G$4:$J$41,4,FALSE))</f>
        <v>97.884728277152888</v>
      </c>
      <c r="H286">
        <v>261</v>
      </c>
      <c r="I286">
        <v>26</v>
      </c>
      <c r="J286">
        <f t="shared" si="17"/>
        <v>26</v>
      </c>
      <c r="K286">
        <v>0.17622115454840426</v>
      </c>
      <c r="L286" t="str">
        <f t="shared" si="19"/>
        <v>Smoker</v>
      </c>
      <c r="M286">
        <f>IF(L286="Nonsmoker",VLOOKUP(PolicyholdersSimulation!J286,PremiumTable!$M$4:$P$41,4,FALSE),VLOOKUP(PolicyholdersSimulation!J286,PremiumTable!$S$4:$V$41,4,FALSE))</f>
        <v>110.73708221593456</v>
      </c>
    </row>
    <row r="287" spans="1:13" x14ac:dyDescent="0.3">
      <c r="A287">
        <v>262</v>
      </c>
      <c r="B287">
        <v>43</v>
      </c>
      <c r="C287">
        <f t="shared" si="16"/>
        <v>43</v>
      </c>
      <c r="D287">
        <v>0.89845135242166108</v>
      </c>
      <c r="E287" t="str">
        <f t="shared" si="18"/>
        <v>Nonsmoker</v>
      </c>
      <c r="F287">
        <f>IF(E287="Nonsmoker",VLOOKUP(PolicyholdersSimulation!C287,PremiumTable!$A$4:$D$41,4,FALSE),VLOOKUP(PolicyholdersSimulation!C287,PremiumTable!$G$4:$J$41,4,FALSE))</f>
        <v>187.89384537033465</v>
      </c>
      <c r="H287">
        <v>262</v>
      </c>
      <c r="I287">
        <v>22</v>
      </c>
      <c r="J287">
        <f t="shared" si="17"/>
        <v>22</v>
      </c>
      <c r="K287">
        <v>7.773178499193456E-3</v>
      </c>
      <c r="L287" t="str">
        <f t="shared" si="19"/>
        <v>Smoker</v>
      </c>
      <c r="M287">
        <f>IF(L287="Nonsmoker",VLOOKUP(PolicyholdersSimulation!J287,PremiumTable!$M$4:$P$41,4,FALSE),VLOOKUP(PolicyholdersSimulation!J287,PremiumTable!$S$4:$V$41,4,FALSE))</f>
        <v>96.757031722187165</v>
      </c>
    </row>
    <row r="288" spans="1:13" x14ac:dyDescent="0.3">
      <c r="A288">
        <v>263</v>
      </c>
      <c r="B288">
        <v>40</v>
      </c>
      <c r="C288">
        <f t="shared" si="16"/>
        <v>40</v>
      </c>
      <c r="D288">
        <v>0.69112619253883556</v>
      </c>
      <c r="E288" t="str">
        <f t="shared" si="18"/>
        <v>Nonsmoker</v>
      </c>
      <c r="F288">
        <f>IF(E288="Nonsmoker",VLOOKUP(PolicyholdersSimulation!C288,PremiumTable!$A$4:$D$41,4,FALSE),VLOOKUP(PolicyholdersSimulation!C288,PremiumTable!$G$4:$J$41,4,FALSE))</f>
        <v>157.14195579270111</v>
      </c>
      <c r="H288">
        <v>263</v>
      </c>
      <c r="I288">
        <v>29</v>
      </c>
      <c r="J288">
        <f t="shared" si="17"/>
        <v>29</v>
      </c>
      <c r="K288">
        <v>0.46070039405957608</v>
      </c>
      <c r="L288" t="str">
        <f t="shared" si="19"/>
        <v>Nonsmoker</v>
      </c>
      <c r="M288">
        <f>IF(L288="Nonsmoker",VLOOKUP(PolicyholdersSimulation!J288,PremiumTable!$M$4:$P$41,4,FALSE),VLOOKUP(PolicyholdersSimulation!J288,PremiumTable!$S$4:$V$41,4,FALSE))</f>
        <v>84.42413832124069</v>
      </c>
    </row>
    <row r="289" spans="1:13" x14ac:dyDescent="0.3">
      <c r="A289">
        <v>264</v>
      </c>
      <c r="B289">
        <v>50</v>
      </c>
      <c r="C289">
        <f t="shared" si="16"/>
        <v>50</v>
      </c>
      <c r="D289">
        <v>0.9234393797720063</v>
      </c>
      <c r="E289" t="str">
        <f t="shared" si="18"/>
        <v>Nonsmoker</v>
      </c>
      <c r="F289">
        <f>IF(E289="Nonsmoker",VLOOKUP(PolicyholdersSimulation!C289,PremiumTable!$A$4:$D$41,4,FALSE),VLOOKUP(PolicyholdersSimulation!C289,PremiumTable!$G$4:$J$41,4,FALSE))</f>
        <v>314.98536897071239</v>
      </c>
      <c r="H289">
        <v>264</v>
      </c>
      <c r="I289">
        <v>25</v>
      </c>
      <c r="J289">
        <f t="shared" si="17"/>
        <v>25</v>
      </c>
      <c r="K289">
        <v>0.91440765625568055</v>
      </c>
      <c r="L289" t="str">
        <f t="shared" si="19"/>
        <v>Nonsmoker</v>
      </c>
      <c r="M289">
        <f>IF(L289="Nonsmoker",VLOOKUP(PolicyholdersSimulation!J289,PremiumTable!$M$4:$P$41,4,FALSE),VLOOKUP(PolicyholdersSimulation!J289,PremiumTable!$S$4:$V$41,4,FALSE))</f>
        <v>78.502715161507126</v>
      </c>
    </row>
    <row r="290" spans="1:13" x14ac:dyDescent="0.3">
      <c r="A290">
        <v>265</v>
      </c>
      <c r="B290">
        <v>33</v>
      </c>
      <c r="C290">
        <f t="shared" si="16"/>
        <v>33</v>
      </c>
      <c r="D290">
        <v>0.15547204146296834</v>
      </c>
      <c r="E290" t="str">
        <f t="shared" si="18"/>
        <v>Smoker</v>
      </c>
      <c r="F290">
        <f>IF(E290="Nonsmoker",VLOOKUP(PolicyholdersSimulation!C290,PremiumTable!$A$4:$D$41,4,FALSE),VLOOKUP(PolicyholdersSimulation!C290,PremiumTable!$G$4:$J$41,4,FALSE))</f>
        <v>213.66592257449349</v>
      </c>
      <c r="H290">
        <v>265</v>
      </c>
      <c r="I290">
        <v>31</v>
      </c>
      <c r="J290">
        <f t="shared" si="17"/>
        <v>31</v>
      </c>
      <c r="K290">
        <v>0.94452224813254171</v>
      </c>
      <c r="L290" t="str">
        <f t="shared" si="19"/>
        <v>Nonsmoker</v>
      </c>
      <c r="M290">
        <f>IF(L290="Nonsmoker",VLOOKUP(PolicyholdersSimulation!J290,PremiumTable!$M$4:$P$41,4,FALSE),VLOOKUP(PolicyholdersSimulation!J290,PremiumTable!$S$4:$V$41,4,FALSE))</f>
        <v>90.615055552142564</v>
      </c>
    </row>
    <row r="291" spans="1:13" x14ac:dyDescent="0.3">
      <c r="A291">
        <v>266</v>
      </c>
      <c r="B291">
        <v>34</v>
      </c>
      <c r="C291">
        <f t="shared" si="16"/>
        <v>34</v>
      </c>
      <c r="D291">
        <v>0.96204514115467643</v>
      </c>
      <c r="E291" t="str">
        <f t="shared" si="18"/>
        <v>Nonsmoker</v>
      </c>
      <c r="F291">
        <f>IF(E291="Nonsmoker",VLOOKUP(PolicyholdersSimulation!C291,PremiumTable!$A$4:$D$41,4,FALSE),VLOOKUP(PolicyholdersSimulation!C291,PremiumTable!$G$4:$J$41,4,FALSE))</f>
        <v>113.54812871502432</v>
      </c>
      <c r="H291">
        <v>266</v>
      </c>
      <c r="I291">
        <v>30</v>
      </c>
      <c r="J291">
        <f t="shared" si="17"/>
        <v>30</v>
      </c>
      <c r="K291">
        <v>0.3282239081351277</v>
      </c>
      <c r="L291" t="str">
        <f t="shared" si="19"/>
        <v>Nonsmoker</v>
      </c>
      <c r="M291">
        <f>IF(L291="Nonsmoker",VLOOKUP(PolicyholdersSimulation!J291,PremiumTable!$M$4:$P$41,4,FALSE),VLOOKUP(PolicyholdersSimulation!J291,PremiumTable!$S$4:$V$41,4,FALSE))</f>
        <v>86.835735543592065</v>
      </c>
    </row>
    <row r="292" spans="1:13" x14ac:dyDescent="0.3">
      <c r="A292">
        <v>267</v>
      </c>
      <c r="B292">
        <v>35</v>
      </c>
      <c r="C292">
        <f t="shared" si="16"/>
        <v>35</v>
      </c>
      <c r="D292">
        <v>0.19946593460020456</v>
      </c>
      <c r="E292" t="str">
        <f t="shared" si="18"/>
        <v>Smoker</v>
      </c>
      <c r="F292">
        <f>IF(E292="Nonsmoker",VLOOKUP(PolicyholdersSimulation!C292,PremiumTable!$A$4:$D$41,4,FALSE),VLOOKUP(PolicyholdersSimulation!C292,PremiumTable!$G$4:$J$41,4,FALSE))</f>
        <v>236.41979160208413</v>
      </c>
      <c r="H292">
        <v>267</v>
      </c>
      <c r="I292">
        <v>24</v>
      </c>
      <c r="J292">
        <f t="shared" si="17"/>
        <v>24</v>
      </c>
      <c r="K292">
        <v>0.97286636499401369</v>
      </c>
      <c r="L292" t="str">
        <f t="shared" si="19"/>
        <v>Nonsmoker</v>
      </c>
      <c r="M292">
        <f>IF(L292="Nonsmoker",VLOOKUP(PolicyholdersSimulation!J292,PremiumTable!$M$4:$P$41,4,FALSE),VLOOKUP(PolicyholdersSimulation!J292,PremiumTable!$S$4:$V$41,4,FALSE))</f>
        <v>79.12344116938408</v>
      </c>
    </row>
    <row r="293" spans="1:13" x14ac:dyDescent="0.3">
      <c r="A293">
        <v>268</v>
      </c>
      <c r="B293">
        <v>30</v>
      </c>
      <c r="C293">
        <f t="shared" si="16"/>
        <v>30</v>
      </c>
      <c r="D293">
        <v>0.59380975267993286</v>
      </c>
      <c r="E293" t="str">
        <f t="shared" si="18"/>
        <v>Nonsmoker</v>
      </c>
      <c r="F293">
        <f>IF(E293="Nonsmoker",VLOOKUP(PolicyholdersSimulation!C293,PremiumTable!$A$4:$D$41,4,FALSE),VLOOKUP(PolicyholdersSimulation!C293,PremiumTable!$G$4:$J$41,4,FALSE))</f>
        <v>98.268933119823288</v>
      </c>
      <c r="H293">
        <v>268</v>
      </c>
      <c r="I293">
        <v>26</v>
      </c>
      <c r="J293">
        <f t="shared" si="17"/>
        <v>26</v>
      </c>
      <c r="K293">
        <v>0.58928336127191938</v>
      </c>
      <c r="L293" t="str">
        <f t="shared" si="19"/>
        <v>Nonsmoker</v>
      </c>
      <c r="M293">
        <f>IF(L293="Nonsmoker",VLOOKUP(PolicyholdersSimulation!J293,PremiumTable!$M$4:$P$41,4,FALSE),VLOOKUP(PolicyholdersSimulation!J293,PremiumTable!$S$4:$V$41,4,FALSE))</f>
        <v>78.904303039663105</v>
      </c>
    </row>
    <row r="294" spans="1:13" x14ac:dyDescent="0.3">
      <c r="A294">
        <v>269</v>
      </c>
      <c r="B294">
        <v>31</v>
      </c>
      <c r="C294">
        <f t="shared" si="16"/>
        <v>31</v>
      </c>
      <c r="D294">
        <v>0.17428260893977621</v>
      </c>
      <c r="E294" t="str">
        <f t="shared" si="18"/>
        <v>Smoker</v>
      </c>
      <c r="F294">
        <f>IF(E294="Nonsmoker",VLOOKUP(PolicyholdersSimulation!C294,PremiumTable!$A$4:$D$41,4,FALSE),VLOOKUP(PolicyholdersSimulation!C294,PremiumTable!$G$4:$J$41,4,FALSE))</f>
        <v>188.94899391585412</v>
      </c>
      <c r="H294">
        <v>269</v>
      </c>
      <c r="I294">
        <v>31</v>
      </c>
      <c r="J294">
        <f t="shared" si="17"/>
        <v>31</v>
      </c>
      <c r="K294">
        <v>0.29748658326729849</v>
      </c>
      <c r="L294" t="str">
        <f t="shared" si="19"/>
        <v>Nonsmoker</v>
      </c>
      <c r="M294">
        <f>IF(L294="Nonsmoker",VLOOKUP(PolicyholdersSimulation!J294,PremiumTable!$M$4:$P$41,4,FALSE),VLOOKUP(PolicyholdersSimulation!J294,PremiumTable!$S$4:$V$41,4,FALSE))</f>
        <v>90.615055552142564</v>
      </c>
    </row>
    <row r="295" spans="1:13" x14ac:dyDescent="0.3">
      <c r="A295">
        <v>270</v>
      </c>
      <c r="B295">
        <v>34</v>
      </c>
      <c r="C295">
        <f t="shared" si="16"/>
        <v>34</v>
      </c>
      <c r="D295">
        <v>0.6120146435010746</v>
      </c>
      <c r="E295" t="str">
        <f t="shared" si="18"/>
        <v>Nonsmoker</v>
      </c>
      <c r="F295">
        <f>IF(E295="Nonsmoker",VLOOKUP(PolicyholdersSimulation!C295,PremiumTable!$A$4:$D$41,4,FALSE),VLOOKUP(PolicyholdersSimulation!C295,PremiumTable!$G$4:$J$41,4,FALSE))</f>
        <v>113.54812871502432</v>
      </c>
      <c r="H295">
        <v>270</v>
      </c>
      <c r="I295">
        <v>24</v>
      </c>
      <c r="J295">
        <f t="shared" si="17"/>
        <v>24</v>
      </c>
      <c r="K295">
        <v>0.10685755116192497</v>
      </c>
      <c r="L295" t="str">
        <f t="shared" si="19"/>
        <v>Smoker</v>
      </c>
      <c r="M295">
        <f>IF(L295="Nonsmoker",VLOOKUP(PolicyholdersSimulation!J295,PremiumTable!$M$4:$P$41,4,FALSE),VLOOKUP(PolicyholdersSimulation!J295,PremiumTable!$S$4:$V$41,4,FALSE))</f>
        <v>102.03197477671861</v>
      </c>
    </row>
    <row r="296" spans="1:13" x14ac:dyDescent="0.3">
      <c r="A296">
        <v>271</v>
      </c>
      <c r="B296">
        <v>34</v>
      </c>
      <c r="C296">
        <f t="shared" si="16"/>
        <v>34</v>
      </c>
      <c r="D296">
        <v>0.81802777678888394</v>
      </c>
      <c r="E296" t="str">
        <f t="shared" si="18"/>
        <v>Nonsmoker</v>
      </c>
      <c r="F296">
        <f>IF(E296="Nonsmoker",VLOOKUP(PolicyholdersSimulation!C296,PremiumTable!$A$4:$D$41,4,FALSE),VLOOKUP(PolicyholdersSimulation!C296,PremiumTable!$G$4:$J$41,4,FALSE))</f>
        <v>113.54812871502432</v>
      </c>
      <c r="H296">
        <v>271</v>
      </c>
      <c r="I296">
        <v>30</v>
      </c>
      <c r="J296">
        <f t="shared" si="17"/>
        <v>30</v>
      </c>
      <c r="K296">
        <v>6.1756189287999308E-2</v>
      </c>
      <c r="L296" t="str">
        <f t="shared" si="19"/>
        <v>Smoker</v>
      </c>
      <c r="M296">
        <f>IF(L296="Nonsmoker",VLOOKUP(PolicyholdersSimulation!J296,PremiumTable!$M$4:$P$41,4,FALSE),VLOOKUP(PolicyholdersSimulation!J296,PremiumTable!$S$4:$V$41,4,FALSE))</f>
        <v>141.98069535695544</v>
      </c>
    </row>
    <row r="297" spans="1:13" x14ac:dyDescent="0.3">
      <c r="A297">
        <v>272</v>
      </c>
      <c r="B297">
        <v>30</v>
      </c>
      <c r="C297">
        <f t="shared" si="16"/>
        <v>30</v>
      </c>
      <c r="D297">
        <v>0.9258517138695519</v>
      </c>
      <c r="E297" t="str">
        <f t="shared" si="18"/>
        <v>Nonsmoker</v>
      </c>
      <c r="F297">
        <f>IF(E297="Nonsmoker",VLOOKUP(PolicyholdersSimulation!C297,PremiumTable!$A$4:$D$41,4,FALSE),VLOOKUP(PolicyholdersSimulation!C297,PremiumTable!$G$4:$J$41,4,FALSE))</f>
        <v>98.268933119823288</v>
      </c>
      <c r="H297">
        <v>272</v>
      </c>
      <c r="I297">
        <v>37</v>
      </c>
      <c r="J297">
        <f t="shared" si="17"/>
        <v>37</v>
      </c>
      <c r="K297">
        <v>0.35714824827326441</v>
      </c>
      <c r="L297" t="str">
        <f t="shared" si="19"/>
        <v>Nonsmoker</v>
      </c>
      <c r="M297">
        <f>IF(L297="Nonsmoker",VLOOKUP(PolicyholdersSimulation!J297,PremiumTable!$M$4:$P$41,4,FALSE),VLOOKUP(PolicyholdersSimulation!J297,PremiumTable!$S$4:$V$41,4,FALSE))</f>
        <v>116.32337590156675</v>
      </c>
    </row>
    <row r="298" spans="1:13" x14ac:dyDescent="0.3">
      <c r="A298">
        <v>273</v>
      </c>
      <c r="B298">
        <v>26</v>
      </c>
      <c r="C298">
        <f t="shared" si="16"/>
        <v>26</v>
      </c>
      <c r="D298">
        <v>0.42457767803122215</v>
      </c>
      <c r="E298" t="str">
        <f t="shared" si="18"/>
        <v>Nonsmoker</v>
      </c>
      <c r="F298">
        <f>IF(E298="Nonsmoker",VLOOKUP(PolicyholdersSimulation!C298,PremiumTable!$A$4:$D$41,4,FALSE),VLOOKUP(PolicyholdersSimulation!C298,PremiumTable!$G$4:$J$41,4,FALSE))</f>
        <v>94.730386259075559</v>
      </c>
      <c r="H298">
        <v>273</v>
      </c>
      <c r="I298">
        <v>24</v>
      </c>
      <c r="J298">
        <f t="shared" si="17"/>
        <v>24</v>
      </c>
      <c r="K298">
        <v>0.12606715964533877</v>
      </c>
      <c r="L298" t="str">
        <f t="shared" si="19"/>
        <v>Smoker</v>
      </c>
      <c r="M298">
        <f>IF(L298="Nonsmoker",VLOOKUP(PolicyholdersSimulation!J298,PremiumTable!$M$4:$P$41,4,FALSE),VLOOKUP(PolicyholdersSimulation!J298,PremiumTable!$S$4:$V$41,4,FALSE))</f>
        <v>102.03197477671861</v>
      </c>
    </row>
    <row r="299" spans="1:13" x14ac:dyDescent="0.3">
      <c r="A299">
        <v>274</v>
      </c>
      <c r="B299">
        <v>36</v>
      </c>
      <c r="C299">
        <f t="shared" si="16"/>
        <v>36</v>
      </c>
      <c r="D299">
        <v>0.48893923699425101</v>
      </c>
      <c r="E299" t="str">
        <f t="shared" si="18"/>
        <v>Nonsmoker</v>
      </c>
      <c r="F299">
        <f>IF(E299="Nonsmoker",VLOOKUP(PolicyholdersSimulation!C299,PremiumTable!$A$4:$D$41,4,FALSE),VLOOKUP(PolicyholdersSimulation!C299,PremiumTable!$G$4:$J$41,4,FALSE))</f>
        <v>124.81197180033109</v>
      </c>
      <c r="H299">
        <v>274</v>
      </c>
      <c r="I299">
        <v>33</v>
      </c>
      <c r="J299">
        <f t="shared" si="17"/>
        <v>33</v>
      </c>
      <c r="K299">
        <v>0.5723475827147122</v>
      </c>
      <c r="L299" t="str">
        <f t="shared" si="19"/>
        <v>Nonsmoker</v>
      </c>
      <c r="M299">
        <f>IF(L299="Nonsmoker",VLOOKUP(PolicyholdersSimulation!J299,PremiumTable!$M$4:$P$41,4,FALSE),VLOOKUP(PolicyholdersSimulation!J299,PremiumTable!$S$4:$V$41,4,FALSE))</f>
        <v>97.645038306373721</v>
      </c>
    </row>
    <row r="300" spans="1:13" x14ac:dyDescent="0.3">
      <c r="A300">
        <v>275</v>
      </c>
      <c r="B300">
        <v>36</v>
      </c>
      <c r="C300">
        <f t="shared" si="16"/>
        <v>36</v>
      </c>
      <c r="D300">
        <v>0.77330763925983648</v>
      </c>
      <c r="E300" t="str">
        <f t="shared" si="18"/>
        <v>Nonsmoker</v>
      </c>
      <c r="F300">
        <f>IF(E300="Nonsmoker",VLOOKUP(PolicyholdersSimulation!C300,PremiumTable!$A$4:$D$41,4,FALSE),VLOOKUP(PolicyholdersSimulation!C300,PremiumTable!$G$4:$J$41,4,FALSE))</f>
        <v>124.81197180033109</v>
      </c>
      <c r="H300">
        <v>275</v>
      </c>
      <c r="I300">
        <v>37</v>
      </c>
      <c r="J300">
        <f t="shared" si="17"/>
        <v>37</v>
      </c>
      <c r="K300">
        <v>0.77856083384309582</v>
      </c>
      <c r="L300" t="str">
        <f t="shared" si="19"/>
        <v>Nonsmoker</v>
      </c>
      <c r="M300">
        <f>IF(L300="Nonsmoker",VLOOKUP(PolicyholdersSimulation!J300,PremiumTable!$M$4:$P$41,4,FALSE),VLOOKUP(PolicyholdersSimulation!J300,PremiumTable!$S$4:$V$41,4,FALSE))</f>
        <v>116.32337590156675</v>
      </c>
    </row>
    <row r="301" spans="1:13" x14ac:dyDescent="0.3">
      <c r="A301">
        <v>276</v>
      </c>
      <c r="B301">
        <v>39</v>
      </c>
      <c r="C301">
        <f t="shared" si="16"/>
        <v>39</v>
      </c>
      <c r="D301">
        <v>0.66211459189409738</v>
      </c>
      <c r="E301" t="str">
        <f t="shared" si="18"/>
        <v>Nonsmoker</v>
      </c>
      <c r="F301">
        <f>IF(E301="Nonsmoker",VLOOKUP(PolicyholdersSimulation!C301,PremiumTable!$A$4:$D$41,4,FALSE),VLOOKUP(PolicyholdersSimulation!C301,PremiumTable!$G$4:$J$41,4,FALSE))</f>
        <v>147.47819581803472</v>
      </c>
      <c r="H301">
        <v>276</v>
      </c>
      <c r="I301">
        <v>29</v>
      </c>
      <c r="J301">
        <f t="shared" si="17"/>
        <v>29</v>
      </c>
      <c r="K301">
        <v>0.59112604798549295</v>
      </c>
      <c r="L301" t="str">
        <f t="shared" si="19"/>
        <v>Nonsmoker</v>
      </c>
      <c r="M301">
        <f>IF(L301="Nonsmoker",VLOOKUP(PolicyholdersSimulation!J301,PremiumTable!$M$4:$P$41,4,FALSE),VLOOKUP(PolicyholdersSimulation!J301,PremiumTable!$S$4:$V$41,4,FALSE))</f>
        <v>84.42413832124069</v>
      </c>
    </row>
    <row r="302" spans="1:13" x14ac:dyDescent="0.3">
      <c r="A302">
        <v>277</v>
      </c>
      <c r="B302">
        <v>35</v>
      </c>
      <c r="C302">
        <f t="shared" si="16"/>
        <v>35</v>
      </c>
      <c r="D302">
        <v>0.89625378245613918</v>
      </c>
      <c r="E302" t="str">
        <f t="shared" si="18"/>
        <v>Nonsmoker</v>
      </c>
      <c r="F302">
        <f>IF(E302="Nonsmoker",VLOOKUP(PolicyholdersSimulation!C302,PremiumTable!$A$4:$D$41,4,FALSE),VLOOKUP(PolicyholdersSimulation!C302,PremiumTable!$G$4:$J$41,4,FALSE))</f>
        <v>118.66696776486694</v>
      </c>
      <c r="H302">
        <v>277</v>
      </c>
      <c r="I302">
        <v>38</v>
      </c>
      <c r="J302">
        <f t="shared" si="17"/>
        <v>38</v>
      </c>
      <c r="K302">
        <v>0.42233028139786</v>
      </c>
      <c r="L302" t="str">
        <f t="shared" si="19"/>
        <v>Nonsmoker</v>
      </c>
      <c r="M302">
        <f>IF(L302="Nonsmoker",VLOOKUP(PolicyholdersSimulation!J302,PremiumTable!$M$4:$P$41,4,FALSE),VLOOKUP(PolicyholdersSimulation!J302,PremiumTable!$S$4:$V$41,4,FALSE))</f>
        <v>121.28464715590727</v>
      </c>
    </row>
    <row r="303" spans="1:13" x14ac:dyDescent="0.3">
      <c r="A303">
        <v>278</v>
      </c>
      <c r="B303">
        <v>44</v>
      </c>
      <c r="C303">
        <f t="shared" si="16"/>
        <v>44</v>
      </c>
      <c r="D303">
        <v>0.32855955749087917</v>
      </c>
      <c r="E303" t="str">
        <f t="shared" si="18"/>
        <v>Nonsmoker</v>
      </c>
      <c r="F303">
        <f>IF(E303="Nonsmoker",VLOOKUP(PolicyholdersSimulation!C303,PremiumTable!$A$4:$D$41,4,FALSE),VLOOKUP(PolicyholdersSimulation!C303,PremiumTable!$G$4:$J$41,4,FALSE))</f>
        <v>199.52896401205433</v>
      </c>
      <c r="H303">
        <v>278</v>
      </c>
      <c r="I303">
        <v>21</v>
      </c>
      <c r="J303">
        <f t="shared" si="17"/>
        <v>21</v>
      </c>
      <c r="K303">
        <v>8.3022147693340265E-2</v>
      </c>
      <c r="L303" t="str">
        <f t="shared" si="19"/>
        <v>Smoker</v>
      </c>
      <c r="M303">
        <f>IF(L303="Nonsmoker",VLOOKUP(PolicyholdersSimulation!J303,PremiumTable!$M$4:$P$41,4,FALSE),VLOOKUP(PolicyholdersSimulation!J303,PremiumTable!$S$4:$V$41,4,FALSE))</f>
        <v>95.204973754286641</v>
      </c>
    </row>
    <row r="304" spans="1:13" x14ac:dyDescent="0.3">
      <c r="A304">
        <v>279</v>
      </c>
      <c r="B304">
        <v>29</v>
      </c>
      <c r="C304">
        <f t="shared" si="16"/>
        <v>29</v>
      </c>
      <c r="D304">
        <v>0.82611999862078522</v>
      </c>
      <c r="E304" t="str">
        <f t="shared" si="18"/>
        <v>Nonsmoker</v>
      </c>
      <c r="F304">
        <f>IF(E304="Nonsmoker",VLOOKUP(PolicyholdersSimulation!C304,PremiumTable!$A$4:$D$41,4,FALSE),VLOOKUP(PolicyholdersSimulation!C304,PremiumTable!$G$4:$J$41,4,FALSE))</f>
        <v>97.884728277152888</v>
      </c>
      <c r="H304">
        <v>279</v>
      </c>
      <c r="I304">
        <v>18</v>
      </c>
      <c r="J304">
        <f t="shared" si="17"/>
        <v>18</v>
      </c>
      <c r="K304">
        <v>0.40951292235711834</v>
      </c>
      <c r="L304" t="str">
        <f t="shared" si="19"/>
        <v>Nonsmoker</v>
      </c>
      <c r="M304">
        <f>IF(L304="Nonsmoker",VLOOKUP(PolicyholdersSimulation!J304,PremiumTable!$M$4:$P$41,4,FALSE),VLOOKUP(PolicyholdersSimulation!J304,PremiumTable!$S$4:$V$41,4,FALSE))</f>
        <v>93.301230978319609</v>
      </c>
    </row>
    <row r="305" spans="1:13" x14ac:dyDescent="0.3">
      <c r="A305">
        <v>280</v>
      </c>
      <c r="B305">
        <v>29</v>
      </c>
      <c r="C305">
        <f t="shared" si="16"/>
        <v>29</v>
      </c>
      <c r="D305">
        <v>0.45703809081739355</v>
      </c>
      <c r="E305" t="str">
        <f t="shared" si="18"/>
        <v>Nonsmoker</v>
      </c>
      <c r="F305">
        <f>IF(E305="Nonsmoker",VLOOKUP(PolicyholdersSimulation!C305,PremiumTable!$A$4:$D$41,4,FALSE),VLOOKUP(PolicyholdersSimulation!C305,PremiumTable!$G$4:$J$41,4,FALSE))</f>
        <v>97.884728277152888</v>
      </c>
      <c r="H305">
        <v>280</v>
      </c>
      <c r="I305">
        <v>31</v>
      </c>
      <c r="J305">
        <f t="shared" si="17"/>
        <v>31</v>
      </c>
      <c r="K305">
        <v>0.5890503369287079</v>
      </c>
      <c r="L305" t="str">
        <f t="shared" si="19"/>
        <v>Nonsmoker</v>
      </c>
      <c r="M305">
        <f>IF(L305="Nonsmoker",VLOOKUP(PolicyholdersSimulation!J305,PremiumTable!$M$4:$P$41,4,FALSE),VLOOKUP(PolicyholdersSimulation!J305,PremiumTable!$S$4:$V$41,4,FALSE))</f>
        <v>90.615055552142564</v>
      </c>
    </row>
    <row r="306" spans="1:13" x14ac:dyDescent="0.3">
      <c r="A306">
        <v>281</v>
      </c>
      <c r="B306">
        <v>46</v>
      </c>
      <c r="C306">
        <f t="shared" si="16"/>
        <v>46</v>
      </c>
      <c r="D306">
        <v>0.23798262608240217</v>
      </c>
      <c r="E306" t="str">
        <f t="shared" si="18"/>
        <v>Nonsmoker</v>
      </c>
      <c r="F306">
        <f>IF(E306="Nonsmoker",VLOOKUP(PolicyholdersSimulation!C306,PremiumTable!$A$4:$D$41,4,FALSE),VLOOKUP(PolicyholdersSimulation!C306,PremiumTable!$G$4:$J$41,4,FALSE))</f>
        <v>229.57701919641352</v>
      </c>
      <c r="H306">
        <v>281</v>
      </c>
      <c r="I306">
        <v>26</v>
      </c>
      <c r="J306">
        <f t="shared" si="17"/>
        <v>26</v>
      </c>
      <c r="K306">
        <v>0.50262232942545737</v>
      </c>
      <c r="L306" t="str">
        <f t="shared" si="19"/>
        <v>Nonsmoker</v>
      </c>
      <c r="M306">
        <f>IF(L306="Nonsmoker",VLOOKUP(PolicyholdersSimulation!J306,PremiumTable!$M$4:$P$41,4,FALSE),VLOOKUP(PolicyholdersSimulation!J306,PremiumTable!$S$4:$V$41,4,FALSE))</f>
        <v>78.904303039663105</v>
      </c>
    </row>
    <row r="307" spans="1:13" x14ac:dyDescent="0.3">
      <c r="A307">
        <v>282</v>
      </c>
      <c r="B307">
        <v>41</v>
      </c>
      <c r="C307">
        <f t="shared" si="16"/>
        <v>41</v>
      </c>
      <c r="D307">
        <v>0.93760049126772327</v>
      </c>
      <c r="E307" t="str">
        <f t="shared" si="18"/>
        <v>Nonsmoker</v>
      </c>
      <c r="F307">
        <f>IF(E307="Nonsmoker",VLOOKUP(PolicyholdersSimulation!C307,PremiumTable!$A$4:$D$41,4,FALSE),VLOOKUP(PolicyholdersSimulation!C307,PremiumTable!$G$4:$J$41,4,FALSE))</f>
        <v>167.10777343661104</v>
      </c>
      <c r="H307">
        <v>282</v>
      </c>
      <c r="I307">
        <v>30</v>
      </c>
      <c r="J307">
        <f t="shared" si="17"/>
        <v>30</v>
      </c>
      <c r="K307">
        <v>0.78053593480614569</v>
      </c>
      <c r="L307" t="str">
        <f t="shared" si="19"/>
        <v>Nonsmoker</v>
      </c>
      <c r="M307">
        <f>IF(L307="Nonsmoker",VLOOKUP(PolicyholdersSimulation!J307,PremiumTable!$M$4:$P$41,4,FALSE),VLOOKUP(PolicyholdersSimulation!J307,PremiumTable!$S$4:$V$41,4,FALSE))</f>
        <v>86.835735543592065</v>
      </c>
    </row>
    <row r="308" spans="1:13" x14ac:dyDescent="0.3">
      <c r="A308">
        <v>283</v>
      </c>
      <c r="B308">
        <v>37</v>
      </c>
      <c r="C308">
        <f t="shared" si="16"/>
        <v>37</v>
      </c>
      <c r="D308">
        <v>0.19856138649963684</v>
      </c>
      <c r="E308" t="str">
        <f t="shared" si="18"/>
        <v>Smoker</v>
      </c>
      <c r="F308">
        <f>IF(E308="Nonsmoker",VLOOKUP(PolicyholdersSimulation!C308,PremiumTable!$A$4:$D$41,4,FALSE),VLOOKUP(PolicyholdersSimulation!C308,PremiumTable!$G$4:$J$41,4,FALSE))</f>
        <v>264.73732833952022</v>
      </c>
      <c r="H308">
        <v>283</v>
      </c>
      <c r="I308">
        <v>26</v>
      </c>
      <c r="J308">
        <f t="shared" si="17"/>
        <v>26</v>
      </c>
      <c r="K308">
        <v>0.81253000161998457</v>
      </c>
      <c r="L308" t="str">
        <f t="shared" si="19"/>
        <v>Nonsmoker</v>
      </c>
      <c r="M308">
        <f>IF(L308="Nonsmoker",VLOOKUP(PolicyholdersSimulation!J308,PremiumTable!$M$4:$P$41,4,FALSE),VLOOKUP(PolicyholdersSimulation!J308,PremiumTable!$S$4:$V$41,4,FALSE))</f>
        <v>78.904303039663105</v>
      </c>
    </row>
    <row r="309" spans="1:13" x14ac:dyDescent="0.3">
      <c r="A309">
        <v>284</v>
      </c>
      <c r="B309">
        <v>38</v>
      </c>
      <c r="C309">
        <f t="shared" si="16"/>
        <v>38</v>
      </c>
      <c r="D309">
        <v>0.27781972827062706</v>
      </c>
      <c r="E309" t="str">
        <f t="shared" si="18"/>
        <v>Nonsmoker</v>
      </c>
      <c r="F309">
        <f>IF(E309="Nonsmoker",VLOOKUP(PolicyholdersSimulation!C309,PremiumTable!$A$4:$D$41,4,FALSE),VLOOKUP(PolicyholdersSimulation!C309,PremiumTable!$G$4:$J$41,4,FALSE))</f>
        <v>138.40856497239142</v>
      </c>
      <c r="H309">
        <v>284</v>
      </c>
      <c r="I309">
        <v>26</v>
      </c>
      <c r="J309">
        <f t="shared" si="17"/>
        <v>26</v>
      </c>
      <c r="K309">
        <v>0.67470340174306698</v>
      </c>
      <c r="L309" t="str">
        <f t="shared" si="19"/>
        <v>Nonsmoker</v>
      </c>
      <c r="M309">
        <f>IF(L309="Nonsmoker",VLOOKUP(PolicyholdersSimulation!J309,PremiumTable!$M$4:$P$41,4,FALSE),VLOOKUP(PolicyholdersSimulation!J309,PremiumTable!$S$4:$V$41,4,FALSE))</f>
        <v>78.904303039663105</v>
      </c>
    </row>
    <row r="310" spans="1:13" x14ac:dyDescent="0.3">
      <c r="A310">
        <v>285</v>
      </c>
      <c r="B310">
        <v>35</v>
      </c>
      <c r="C310">
        <f t="shared" si="16"/>
        <v>35</v>
      </c>
      <c r="D310">
        <v>0.42646656956394924</v>
      </c>
      <c r="E310" t="str">
        <f t="shared" si="18"/>
        <v>Nonsmoker</v>
      </c>
      <c r="F310">
        <f>IF(E310="Nonsmoker",VLOOKUP(PolicyholdersSimulation!C310,PremiumTable!$A$4:$D$41,4,FALSE),VLOOKUP(PolicyholdersSimulation!C310,PremiumTable!$G$4:$J$41,4,FALSE))</f>
        <v>118.66696776486694</v>
      </c>
      <c r="H310">
        <v>285</v>
      </c>
      <c r="I310">
        <v>23</v>
      </c>
      <c r="J310">
        <f t="shared" si="17"/>
        <v>23</v>
      </c>
      <c r="K310">
        <v>0.15277087960607738</v>
      </c>
      <c r="L310" t="str">
        <f t="shared" si="19"/>
        <v>Smoker</v>
      </c>
      <c r="M310">
        <f>IF(L310="Nonsmoker",VLOOKUP(PolicyholdersSimulation!J310,PremiumTable!$M$4:$P$41,4,FALSE),VLOOKUP(PolicyholdersSimulation!J310,PremiumTable!$S$4:$V$41,4,FALSE))</f>
        <v>98.548325721117351</v>
      </c>
    </row>
    <row r="311" spans="1:13" x14ac:dyDescent="0.3">
      <c r="A311">
        <v>286</v>
      </c>
      <c r="B311">
        <v>31</v>
      </c>
      <c r="C311">
        <f t="shared" si="16"/>
        <v>31</v>
      </c>
      <c r="D311">
        <v>0.99077634748238153</v>
      </c>
      <c r="E311" t="str">
        <f t="shared" si="18"/>
        <v>Nonsmoker</v>
      </c>
      <c r="F311">
        <f>IF(E311="Nonsmoker",VLOOKUP(PolicyholdersSimulation!C311,PremiumTable!$A$4:$D$41,4,FALSE),VLOOKUP(PolicyholdersSimulation!C311,PremiumTable!$G$4:$J$41,4,FALSE))</f>
        <v>100.09400993488123</v>
      </c>
      <c r="H311">
        <v>286</v>
      </c>
      <c r="I311">
        <v>35</v>
      </c>
      <c r="J311">
        <f t="shared" si="17"/>
        <v>35</v>
      </c>
      <c r="K311">
        <v>0.19993102490868897</v>
      </c>
      <c r="L311" t="str">
        <f t="shared" si="19"/>
        <v>Smoker</v>
      </c>
      <c r="M311">
        <f>IF(L311="Nonsmoker",VLOOKUP(PolicyholdersSimulation!J311,PremiumTable!$M$4:$P$41,4,FALSE),VLOOKUP(PolicyholdersSimulation!J311,PremiumTable!$S$4:$V$41,4,FALSE))</f>
        <v>196.78106952359585</v>
      </c>
    </row>
    <row r="312" spans="1:13" x14ac:dyDescent="0.3">
      <c r="A312">
        <v>287</v>
      </c>
      <c r="B312">
        <v>45</v>
      </c>
      <c r="C312">
        <f t="shared" si="16"/>
        <v>45</v>
      </c>
      <c r="D312">
        <v>0.99232013760855242</v>
      </c>
      <c r="E312" t="str">
        <f t="shared" si="18"/>
        <v>Nonsmoker</v>
      </c>
      <c r="F312">
        <f>IF(E312="Nonsmoker",VLOOKUP(PolicyholdersSimulation!C312,PremiumTable!$A$4:$D$41,4,FALSE),VLOOKUP(PolicyholdersSimulation!C312,PremiumTable!$G$4:$J$41,4,FALSE))</f>
        <v>213.66497913765616</v>
      </c>
      <c r="H312">
        <v>287</v>
      </c>
      <c r="I312">
        <v>36</v>
      </c>
      <c r="J312">
        <f t="shared" si="17"/>
        <v>36</v>
      </c>
      <c r="K312">
        <v>0.81261695549780877</v>
      </c>
      <c r="L312" t="str">
        <f t="shared" si="19"/>
        <v>Nonsmoker</v>
      </c>
      <c r="M312">
        <f>IF(L312="Nonsmoker",VLOOKUP(PolicyholdersSimulation!J312,PremiumTable!$M$4:$P$41,4,FALSE),VLOOKUP(PolicyholdersSimulation!J312,PremiumTable!$S$4:$V$41,4,FALSE))</f>
        <v>111.05506919808718</v>
      </c>
    </row>
    <row r="313" spans="1:13" x14ac:dyDescent="0.3">
      <c r="A313">
        <v>288</v>
      </c>
      <c r="B313">
        <v>48</v>
      </c>
      <c r="C313">
        <f t="shared" si="16"/>
        <v>48</v>
      </c>
      <c r="D313">
        <v>0.47991336268699303</v>
      </c>
      <c r="E313" t="str">
        <f t="shared" si="18"/>
        <v>Nonsmoker</v>
      </c>
      <c r="F313">
        <f>IF(E313="Nonsmoker",VLOOKUP(PolicyholdersSimulation!C313,PremiumTable!$A$4:$D$41,4,FALSE),VLOOKUP(PolicyholdersSimulation!C313,PremiumTable!$G$4:$J$41,4,FALSE))</f>
        <v>268.70623905362021</v>
      </c>
      <c r="H313">
        <v>288</v>
      </c>
      <c r="I313">
        <v>32</v>
      </c>
      <c r="J313">
        <f t="shared" si="17"/>
        <v>32</v>
      </c>
      <c r="K313">
        <v>0.49346778271983183</v>
      </c>
      <c r="L313" t="str">
        <f t="shared" si="19"/>
        <v>Nonsmoker</v>
      </c>
      <c r="M313">
        <f>IF(L313="Nonsmoker",VLOOKUP(PolicyholdersSimulation!J313,PremiumTable!$M$4:$P$41,4,FALSE),VLOOKUP(PolicyholdersSimulation!J313,PremiumTable!$S$4:$V$41,4,FALSE))</f>
        <v>93.792888886888633</v>
      </c>
    </row>
    <row r="314" spans="1:13" x14ac:dyDescent="0.3">
      <c r="A314">
        <v>289</v>
      </c>
      <c r="B314">
        <v>35</v>
      </c>
      <c r="C314">
        <f t="shared" si="16"/>
        <v>35</v>
      </c>
      <c r="D314">
        <v>0.32934916290240002</v>
      </c>
      <c r="E314" t="str">
        <f t="shared" si="18"/>
        <v>Nonsmoker</v>
      </c>
      <c r="F314">
        <f>IF(E314="Nonsmoker",VLOOKUP(PolicyholdersSimulation!C314,PremiumTable!$A$4:$D$41,4,FALSE),VLOOKUP(PolicyholdersSimulation!C314,PremiumTable!$G$4:$J$41,4,FALSE))</f>
        <v>118.66696776486694</v>
      </c>
      <c r="H314">
        <v>289</v>
      </c>
      <c r="I314">
        <v>39</v>
      </c>
      <c r="J314">
        <f t="shared" si="17"/>
        <v>39</v>
      </c>
      <c r="K314">
        <v>1.7745957257055078E-2</v>
      </c>
      <c r="L314" t="str">
        <f t="shared" si="19"/>
        <v>Smoker</v>
      </c>
      <c r="M314">
        <f>IF(L314="Nonsmoker",VLOOKUP(PolicyholdersSimulation!J314,PremiumTable!$M$4:$P$41,4,FALSE),VLOOKUP(PolicyholdersSimulation!J314,PremiumTable!$S$4:$V$41,4,FALSE))</f>
        <v>260.19624541315187</v>
      </c>
    </row>
    <row r="315" spans="1:13" x14ac:dyDescent="0.3">
      <c r="A315">
        <v>290</v>
      </c>
      <c r="B315">
        <v>37</v>
      </c>
      <c r="C315">
        <f t="shared" si="16"/>
        <v>37</v>
      </c>
      <c r="D315">
        <v>0.54051691627293375</v>
      </c>
      <c r="E315" t="str">
        <f t="shared" si="18"/>
        <v>Nonsmoker</v>
      </c>
      <c r="F315">
        <f>IF(E315="Nonsmoker",VLOOKUP(PolicyholdersSimulation!C315,PremiumTable!$A$4:$D$41,4,FALSE),VLOOKUP(PolicyholdersSimulation!C315,PremiumTable!$G$4:$J$41,4,FALSE))</f>
        <v>131.04073052327638</v>
      </c>
      <c r="H315">
        <v>290</v>
      </c>
      <c r="I315">
        <v>18</v>
      </c>
      <c r="J315">
        <f t="shared" si="17"/>
        <v>18</v>
      </c>
      <c r="K315">
        <v>0.49496442090114967</v>
      </c>
      <c r="L315" t="str">
        <f t="shared" si="19"/>
        <v>Nonsmoker</v>
      </c>
      <c r="M315">
        <f>IF(L315="Nonsmoker",VLOOKUP(PolicyholdersSimulation!J315,PremiumTable!$M$4:$P$41,4,FALSE),VLOOKUP(PolicyholdersSimulation!J315,PremiumTable!$S$4:$V$41,4,FALSE))</f>
        <v>93.301230978319609</v>
      </c>
    </row>
    <row r="316" spans="1:13" x14ac:dyDescent="0.3">
      <c r="A316">
        <v>291</v>
      </c>
      <c r="B316">
        <v>28</v>
      </c>
      <c r="C316">
        <f t="shared" si="16"/>
        <v>28</v>
      </c>
      <c r="D316">
        <v>0.78329663595959131</v>
      </c>
      <c r="E316" t="str">
        <f t="shared" si="18"/>
        <v>Nonsmoker</v>
      </c>
      <c r="F316">
        <f>IF(E316="Nonsmoker",VLOOKUP(PolicyholdersSimulation!C316,PremiumTable!$A$4:$D$41,4,FALSE),VLOOKUP(PolicyholdersSimulation!C316,PremiumTable!$G$4:$J$41,4,FALSE))</f>
        <v>97.344900542817271</v>
      </c>
      <c r="H316">
        <v>291</v>
      </c>
      <c r="I316">
        <v>38</v>
      </c>
      <c r="J316">
        <f t="shared" si="17"/>
        <v>38</v>
      </c>
      <c r="K316">
        <v>0.34269454801844945</v>
      </c>
      <c r="L316" t="str">
        <f t="shared" si="19"/>
        <v>Nonsmoker</v>
      </c>
      <c r="M316">
        <f>IF(L316="Nonsmoker",VLOOKUP(PolicyholdersSimulation!J316,PremiumTable!$M$4:$P$41,4,FALSE),VLOOKUP(PolicyholdersSimulation!J316,PremiumTable!$S$4:$V$41,4,FALSE))</f>
        <v>121.28464715590727</v>
      </c>
    </row>
    <row r="317" spans="1:13" x14ac:dyDescent="0.3">
      <c r="A317">
        <v>292</v>
      </c>
      <c r="B317">
        <v>37</v>
      </c>
      <c r="C317">
        <f t="shared" si="16"/>
        <v>37</v>
      </c>
      <c r="D317">
        <v>0.69749103914654487</v>
      </c>
      <c r="E317" t="str">
        <f t="shared" si="18"/>
        <v>Nonsmoker</v>
      </c>
      <c r="F317">
        <f>IF(E317="Nonsmoker",VLOOKUP(PolicyholdersSimulation!C317,PremiumTable!$A$4:$D$41,4,FALSE),VLOOKUP(PolicyholdersSimulation!C317,PremiumTable!$G$4:$J$41,4,FALSE))</f>
        <v>131.04073052327638</v>
      </c>
      <c r="H317">
        <v>292</v>
      </c>
      <c r="I317">
        <v>27</v>
      </c>
      <c r="J317">
        <f t="shared" si="17"/>
        <v>27</v>
      </c>
      <c r="K317">
        <v>0.27580484786240145</v>
      </c>
      <c r="L317" t="str">
        <f t="shared" si="19"/>
        <v>Nonsmoker</v>
      </c>
      <c r="M317">
        <f>IF(L317="Nonsmoker",VLOOKUP(PolicyholdersSimulation!J317,PremiumTable!$M$4:$P$41,4,FALSE),VLOOKUP(PolicyholdersSimulation!J317,PremiumTable!$S$4:$V$41,4,FALSE))</f>
        <v>80.233973036058572</v>
      </c>
    </row>
    <row r="318" spans="1:13" x14ac:dyDescent="0.3">
      <c r="A318">
        <v>293</v>
      </c>
      <c r="B318">
        <v>30</v>
      </c>
      <c r="C318">
        <f t="shared" si="16"/>
        <v>30</v>
      </c>
      <c r="D318">
        <v>0.85860691958875501</v>
      </c>
      <c r="E318" t="str">
        <f t="shared" si="18"/>
        <v>Nonsmoker</v>
      </c>
      <c r="F318">
        <f>IF(E318="Nonsmoker",VLOOKUP(PolicyholdersSimulation!C318,PremiumTable!$A$4:$D$41,4,FALSE),VLOOKUP(PolicyholdersSimulation!C318,PremiumTable!$G$4:$J$41,4,FALSE))</f>
        <v>98.268933119823288</v>
      </c>
      <c r="H318">
        <v>293</v>
      </c>
      <c r="I318">
        <v>26</v>
      </c>
      <c r="J318">
        <f t="shared" si="17"/>
        <v>26</v>
      </c>
      <c r="K318">
        <v>0.84238806405988187</v>
      </c>
      <c r="L318" t="str">
        <f t="shared" si="19"/>
        <v>Nonsmoker</v>
      </c>
      <c r="M318">
        <f>IF(L318="Nonsmoker",VLOOKUP(PolicyholdersSimulation!J318,PremiumTable!$M$4:$P$41,4,FALSE),VLOOKUP(PolicyholdersSimulation!J318,PremiumTable!$S$4:$V$41,4,FALSE))</f>
        <v>78.904303039663105</v>
      </c>
    </row>
    <row r="319" spans="1:13" x14ac:dyDescent="0.3">
      <c r="A319">
        <v>294</v>
      </c>
      <c r="B319">
        <v>52</v>
      </c>
      <c r="C319">
        <f t="shared" si="16"/>
        <v>52</v>
      </c>
      <c r="D319">
        <v>0.17238413114688578</v>
      </c>
      <c r="E319" t="str">
        <f t="shared" si="18"/>
        <v>Smoker</v>
      </c>
      <c r="F319">
        <f>IF(E319="Nonsmoker",VLOOKUP(PolicyholdersSimulation!C319,PremiumTable!$A$4:$D$41,4,FALSE),VLOOKUP(PolicyholdersSimulation!C319,PremiumTable!$G$4:$J$41,4,FALSE))</f>
        <v>1092.0292366320878</v>
      </c>
      <c r="H319">
        <v>294</v>
      </c>
      <c r="I319">
        <v>23</v>
      </c>
      <c r="J319">
        <f t="shared" si="17"/>
        <v>23</v>
      </c>
      <c r="K319">
        <v>0.16064933235176337</v>
      </c>
      <c r="L319" t="str">
        <f t="shared" si="19"/>
        <v>Smoker</v>
      </c>
      <c r="M319">
        <f>IF(L319="Nonsmoker",VLOOKUP(PolicyholdersSimulation!J319,PremiumTable!$M$4:$P$41,4,FALSE),VLOOKUP(PolicyholdersSimulation!J319,PremiumTable!$S$4:$V$41,4,FALSE))</f>
        <v>98.548325721117351</v>
      </c>
    </row>
    <row r="320" spans="1:13" x14ac:dyDescent="0.3">
      <c r="A320">
        <v>295</v>
      </c>
      <c r="B320">
        <v>28</v>
      </c>
      <c r="C320">
        <f t="shared" si="16"/>
        <v>28</v>
      </c>
      <c r="D320">
        <v>0.79509278235155134</v>
      </c>
      <c r="E320" t="str">
        <f t="shared" si="18"/>
        <v>Nonsmoker</v>
      </c>
      <c r="F320">
        <f>IF(E320="Nonsmoker",VLOOKUP(PolicyholdersSimulation!C320,PremiumTable!$A$4:$D$41,4,FALSE),VLOOKUP(PolicyholdersSimulation!C320,PremiumTable!$G$4:$J$41,4,FALSE))</f>
        <v>97.344900542817271</v>
      </c>
      <c r="H320">
        <v>295</v>
      </c>
      <c r="I320">
        <v>25</v>
      </c>
      <c r="J320">
        <f t="shared" si="17"/>
        <v>25</v>
      </c>
      <c r="K320">
        <v>0.22876773200203726</v>
      </c>
      <c r="L320" t="str">
        <f t="shared" si="19"/>
        <v>Nonsmoker</v>
      </c>
      <c r="M320">
        <f>IF(L320="Nonsmoker",VLOOKUP(PolicyholdersSimulation!J320,PremiumTable!$M$4:$P$41,4,FALSE),VLOOKUP(PolicyholdersSimulation!J320,PremiumTable!$S$4:$V$41,4,FALSE))</f>
        <v>78.502715161507126</v>
      </c>
    </row>
    <row r="321" spans="1:13" x14ac:dyDescent="0.3">
      <c r="A321">
        <v>296</v>
      </c>
      <c r="B321">
        <v>36</v>
      </c>
      <c r="C321">
        <f t="shared" si="16"/>
        <v>36</v>
      </c>
      <c r="D321">
        <v>0.80586818500691504</v>
      </c>
      <c r="E321" t="str">
        <f t="shared" si="18"/>
        <v>Nonsmoker</v>
      </c>
      <c r="F321">
        <f>IF(E321="Nonsmoker",VLOOKUP(PolicyholdersSimulation!C321,PremiumTable!$A$4:$D$41,4,FALSE),VLOOKUP(PolicyholdersSimulation!C321,PremiumTable!$G$4:$J$41,4,FALSE))</f>
        <v>124.81197180033109</v>
      </c>
      <c r="H321">
        <v>296</v>
      </c>
      <c r="I321">
        <v>29</v>
      </c>
      <c r="J321">
        <f t="shared" si="17"/>
        <v>29</v>
      </c>
      <c r="K321">
        <v>0.91921134079458633</v>
      </c>
      <c r="L321" t="str">
        <f t="shared" si="19"/>
        <v>Nonsmoker</v>
      </c>
      <c r="M321">
        <f>IF(L321="Nonsmoker",VLOOKUP(PolicyholdersSimulation!J321,PremiumTable!$M$4:$P$41,4,FALSE),VLOOKUP(PolicyholdersSimulation!J321,PremiumTable!$S$4:$V$41,4,FALSE))</f>
        <v>84.42413832124069</v>
      </c>
    </row>
    <row r="322" spans="1:13" x14ac:dyDescent="0.3">
      <c r="A322">
        <v>297</v>
      </c>
      <c r="B322">
        <v>33</v>
      </c>
      <c r="C322">
        <f t="shared" si="16"/>
        <v>33</v>
      </c>
      <c r="D322">
        <v>8.7654912652472938E-2</v>
      </c>
      <c r="E322" t="str">
        <f t="shared" si="18"/>
        <v>Smoker</v>
      </c>
      <c r="F322">
        <f>IF(E322="Nonsmoker",VLOOKUP(PolicyholdersSimulation!C322,PremiumTable!$A$4:$D$41,4,FALSE),VLOOKUP(PolicyholdersSimulation!C322,PremiumTable!$G$4:$J$41,4,FALSE))</f>
        <v>213.66592257449349</v>
      </c>
      <c r="H322">
        <v>297</v>
      </c>
      <c r="I322">
        <v>24</v>
      </c>
      <c r="J322">
        <f t="shared" si="17"/>
        <v>24</v>
      </c>
      <c r="K322">
        <v>0.80035319570181418</v>
      </c>
      <c r="L322" t="str">
        <f t="shared" si="19"/>
        <v>Nonsmoker</v>
      </c>
      <c r="M322">
        <f>IF(L322="Nonsmoker",VLOOKUP(PolicyholdersSimulation!J322,PremiumTable!$M$4:$P$41,4,FALSE),VLOOKUP(PolicyholdersSimulation!J322,PremiumTable!$S$4:$V$41,4,FALSE))</f>
        <v>79.12344116938408</v>
      </c>
    </row>
    <row r="323" spans="1:13" x14ac:dyDescent="0.3">
      <c r="A323">
        <v>298</v>
      </c>
      <c r="B323">
        <v>41</v>
      </c>
      <c r="C323">
        <f t="shared" si="16"/>
        <v>41</v>
      </c>
      <c r="D323">
        <v>0.27663757088184071</v>
      </c>
      <c r="E323" t="str">
        <f t="shared" si="18"/>
        <v>Nonsmoker</v>
      </c>
      <c r="F323">
        <f>IF(E323="Nonsmoker",VLOOKUP(PolicyholdersSimulation!C323,PremiumTable!$A$4:$D$41,4,FALSE),VLOOKUP(PolicyholdersSimulation!C323,PremiumTable!$G$4:$J$41,4,FALSE))</f>
        <v>167.10777343661104</v>
      </c>
      <c r="H323">
        <v>298</v>
      </c>
      <c r="I323">
        <v>34</v>
      </c>
      <c r="J323">
        <f t="shared" si="17"/>
        <v>34</v>
      </c>
      <c r="K323">
        <v>7.7527486895903164E-2</v>
      </c>
      <c r="L323" t="str">
        <f t="shared" si="19"/>
        <v>Smoker</v>
      </c>
      <c r="M323">
        <f>IF(L323="Nonsmoker",VLOOKUP(PolicyholdersSimulation!J323,PremiumTable!$M$4:$P$41,4,FALSE),VLOOKUP(PolicyholdersSimulation!J323,PremiumTable!$S$4:$V$41,4,FALSE))</f>
        <v>185.08354022082776</v>
      </c>
    </row>
    <row r="324" spans="1:13" x14ac:dyDescent="0.3">
      <c r="A324">
        <v>299</v>
      </c>
      <c r="B324">
        <v>36</v>
      </c>
      <c r="C324">
        <f t="shared" si="16"/>
        <v>36</v>
      </c>
      <c r="D324">
        <v>4.2928535305884141E-2</v>
      </c>
      <c r="E324" t="str">
        <f t="shared" si="18"/>
        <v>Smoker</v>
      </c>
      <c r="F324">
        <f>IF(E324="Nonsmoker",VLOOKUP(PolicyholdersSimulation!C324,PremiumTable!$A$4:$D$41,4,FALSE),VLOOKUP(PolicyholdersSimulation!C324,PremiumTable!$G$4:$J$41,4,FALSE))</f>
        <v>249.41246875176387</v>
      </c>
      <c r="H324">
        <v>299</v>
      </c>
      <c r="I324">
        <v>36</v>
      </c>
      <c r="J324">
        <f t="shared" si="17"/>
        <v>36</v>
      </c>
      <c r="K324">
        <v>0.24898483317154929</v>
      </c>
      <c r="L324" t="str">
        <f t="shared" si="19"/>
        <v>Nonsmoker</v>
      </c>
      <c r="M324">
        <f>IF(L324="Nonsmoker",VLOOKUP(PolicyholdersSimulation!J324,PremiumTable!$M$4:$P$41,4,FALSE),VLOOKUP(PolicyholdersSimulation!J324,PremiumTable!$S$4:$V$41,4,FALSE))</f>
        <v>111.05506919808718</v>
      </c>
    </row>
    <row r="325" spans="1:13" x14ac:dyDescent="0.3">
      <c r="A325">
        <v>300</v>
      </c>
      <c r="B325">
        <v>36</v>
      </c>
      <c r="C325">
        <f t="shared" si="16"/>
        <v>36</v>
      </c>
      <c r="D325">
        <v>0.66808941499298102</v>
      </c>
      <c r="E325" t="str">
        <f t="shared" si="18"/>
        <v>Nonsmoker</v>
      </c>
      <c r="F325">
        <f>IF(E325="Nonsmoker",VLOOKUP(PolicyholdersSimulation!C325,PremiumTable!$A$4:$D$41,4,FALSE),VLOOKUP(PolicyholdersSimulation!C325,PremiumTable!$G$4:$J$41,4,FALSE))</f>
        <v>124.81197180033109</v>
      </c>
      <c r="H325">
        <v>300</v>
      </c>
      <c r="I325">
        <v>31</v>
      </c>
      <c r="J325">
        <f t="shared" si="17"/>
        <v>31</v>
      </c>
      <c r="K325">
        <v>0.89865880130314579</v>
      </c>
      <c r="L325" t="str">
        <f t="shared" si="19"/>
        <v>Nonsmoker</v>
      </c>
      <c r="M325">
        <f>IF(L325="Nonsmoker",VLOOKUP(PolicyholdersSimulation!J325,PremiumTable!$M$4:$P$41,4,FALSE),VLOOKUP(PolicyholdersSimulation!J325,PremiumTable!$S$4:$V$41,4,FALSE))</f>
        <v>90.615055552142564</v>
      </c>
    </row>
    <row r="326" spans="1:13" x14ac:dyDescent="0.3">
      <c r="A326">
        <v>301</v>
      </c>
      <c r="B326">
        <v>36</v>
      </c>
      <c r="C326">
        <f t="shared" si="16"/>
        <v>36</v>
      </c>
      <c r="D326">
        <v>0.45224380634061045</v>
      </c>
      <c r="E326" t="str">
        <f t="shared" si="18"/>
        <v>Nonsmoker</v>
      </c>
      <c r="F326">
        <f>IF(E326="Nonsmoker",VLOOKUP(PolicyholdersSimulation!C326,PremiumTable!$A$4:$D$41,4,FALSE),VLOOKUP(PolicyholdersSimulation!C326,PremiumTable!$G$4:$J$41,4,FALSE))</f>
        <v>124.81197180033109</v>
      </c>
      <c r="H326">
        <v>301</v>
      </c>
      <c r="I326">
        <v>30</v>
      </c>
      <c r="J326">
        <f t="shared" si="17"/>
        <v>30</v>
      </c>
      <c r="K326">
        <v>0.86837889088726639</v>
      </c>
      <c r="L326" t="str">
        <f t="shared" si="19"/>
        <v>Nonsmoker</v>
      </c>
      <c r="M326">
        <f>IF(L326="Nonsmoker",VLOOKUP(PolicyholdersSimulation!J326,PremiumTable!$M$4:$P$41,4,FALSE),VLOOKUP(PolicyholdersSimulation!J326,PremiumTable!$S$4:$V$41,4,FALSE))</f>
        <v>86.835735543592065</v>
      </c>
    </row>
    <row r="327" spans="1:13" x14ac:dyDescent="0.3">
      <c r="A327">
        <v>302</v>
      </c>
      <c r="B327">
        <v>38</v>
      </c>
      <c r="C327">
        <f t="shared" si="16"/>
        <v>38</v>
      </c>
      <c r="D327">
        <v>0.41791117874939632</v>
      </c>
      <c r="E327" t="str">
        <f t="shared" si="18"/>
        <v>Nonsmoker</v>
      </c>
      <c r="F327">
        <f>IF(E327="Nonsmoker",VLOOKUP(PolicyholdersSimulation!C327,PremiumTable!$A$4:$D$41,4,FALSE),VLOOKUP(PolicyholdersSimulation!C327,PremiumTable!$G$4:$J$41,4,FALSE))</f>
        <v>138.40856497239142</v>
      </c>
      <c r="H327">
        <v>302</v>
      </c>
      <c r="I327">
        <v>30</v>
      </c>
      <c r="J327">
        <f t="shared" si="17"/>
        <v>30</v>
      </c>
      <c r="K327">
        <v>1.1714364965556001E-3</v>
      </c>
      <c r="L327" t="str">
        <f t="shared" si="19"/>
        <v>Smoker</v>
      </c>
      <c r="M327">
        <f>IF(L327="Nonsmoker",VLOOKUP(PolicyholdersSimulation!J327,PremiumTable!$M$4:$P$41,4,FALSE),VLOOKUP(PolicyholdersSimulation!J327,PremiumTable!$S$4:$V$41,4,FALSE))</f>
        <v>141.98069535695544</v>
      </c>
    </row>
    <row r="328" spans="1:13" x14ac:dyDescent="0.3">
      <c r="A328">
        <v>303</v>
      </c>
      <c r="B328">
        <v>37</v>
      </c>
      <c r="C328">
        <f t="shared" si="16"/>
        <v>37</v>
      </c>
      <c r="D328">
        <v>0.63970463214409345</v>
      </c>
      <c r="E328" t="str">
        <f t="shared" si="18"/>
        <v>Nonsmoker</v>
      </c>
      <c r="F328">
        <f>IF(E328="Nonsmoker",VLOOKUP(PolicyholdersSimulation!C328,PremiumTable!$A$4:$D$41,4,FALSE),VLOOKUP(PolicyholdersSimulation!C328,PremiumTable!$G$4:$J$41,4,FALSE))</f>
        <v>131.04073052327638</v>
      </c>
      <c r="H328">
        <v>303</v>
      </c>
      <c r="I328">
        <v>22</v>
      </c>
      <c r="J328">
        <f t="shared" si="17"/>
        <v>22</v>
      </c>
      <c r="K328">
        <v>0.52430797711283095</v>
      </c>
      <c r="L328" t="str">
        <f t="shared" si="19"/>
        <v>Nonsmoker</v>
      </c>
      <c r="M328">
        <f>IF(L328="Nonsmoker",VLOOKUP(PolicyholdersSimulation!J328,PremiumTable!$M$4:$P$41,4,FALSE),VLOOKUP(PolicyholdersSimulation!J328,PremiumTable!$S$4:$V$41,4,FALSE))</f>
        <v>81.743813936142374</v>
      </c>
    </row>
    <row r="329" spans="1:13" x14ac:dyDescent="0.3">
      <c r="A329">
        <v>304</v>
      </c>
      <c r="B329">
        <v>39</v>
      </c>
      <c r="C329">
        <f t="shared" si="16"/>
        <v>39</v>
      </c>
      <c r="D329">
        <v>0.83219313767725567</v>
      </c>
      <c r="E329" t="str">
        <f t="shared" si="18"/>
        <v>Nonsmoker</v>
      </c>
      <c r="F329">
        <f>IF(E329="Nonsmoker",VLOOKUP(PolicyholdersSimulation!C329,PremiumTable!$A$4:$D$41,4,FALSE),VLOOKUP(PolicyholdersSimulation!C329,PremiumTable!$G$4:$J$41,4,FALSE))</f>
        <v>147.47819581803472</v>
      </c>
      <c r="H329">
        <v>304</v>
      </c>
      <c r="I329">
        <v>33</v>
      </c>
      <c r="J329">
        <f t="shared" si="17"/>
        <v>33</v>
      </c>
      <c r="K329">
        <v>0.56392572678833897</v>
      </c>
      <c r="L329" t="str">
        <f t="shared" si="19"/>
        <v>Nonsmoker</v>
      </c>
      <c r="M329">
        <f>IF(L329="Nonsmoker",VLOOKUP(PolicyholdersSimulation!J329,PremiumTable!$M$4:$P$41,4,FALSE),VLOOKUP(PolicyholdersSimulation!J329,PremiumTable!$S$4:$V$41,4,FALSE))</f>
        <v>97.645038306373721</v>
      </c>
    </row>
    <row r="330" spans="1:13" x14ac:dyDescent="0.3">
      <c r="A330">
        <v>305</v>
      </c>
      <c r="B330">
        <v>37</v>
      </c>
      <c r="C330">
        <f t="shared" si="16"/>
        <v>37</v>
      </c>
      <c r="D330">
        <v>0.49422501694144638</v>
      </c>
      <c r="E330" t="str">
        <f t="shared" si="18"/>
        <v>Nonsmoker</v>
      </c>
      <c r="F330">
        <f>IF(E330="Nonsmoker",VLOOKUP(PolicyholdersSimulation!C330,PremiumTable!$A$4:$D$41,4,FALSE),VLOOKUP(PolicyholdersSimulation!C330,PremiumTable!$G$4:$J$41,4,FALSE))</f>
        <v>131.04073052327638</v>
      </c>
      <c r="H330">
        <v>305</v>
      </c>
      <c r="I330">
        <v>26</v>
      </c>
      <c r="J330">
        <f t="shared" si="17"/>
        <v>26</v>
      </c>
      <c r="K330">
        <v>0.54964615692145558</v>
      </c>
      <c r="L330" t="str">
        <f t="shared" si="19"/>
        <v>Nonsmoker</v>
      </c>
      <c r="M330">
        <f>IF(L330="Nonsmoker",VLOOKUP(PolicyholdersSimulation!J330,PremiumTable!$M$4:$P$41,4,FALSE),VLOOKUP(PolicyholdersSimulation!J330,PremiumTable!$S$4:$V$41,4,FALSE))</f>
        <v>78.904303039663105</v>
      </c>
    </row>
    <row r="331" spans="1:13" x14ac:dyDescent="0.3">
      <c r="A331">
        <v>306</v>
      </c>
      <c r="B331">
        <v>22</v>
      </c>
      <c r="C331">
        <f t="shared" si="16"/>
        <v>22</v>
      </c>
      <c r="D331">
        <v>0.87421572188479402</v>
      </c>
      <c r="E331" t="str">
        <f t="shared" si="18"/>
        <v>Nonsmoker</v>
      </c>
      <c r="F331">
        <f>IF(E331="Nonsmoker",VLOOKUP(PolicyholdersSimulation!C331,PremiumTable!$A$4:$D$41,4,FALSE),VLOOKUP(PolicyholdersSimulation!C331,PremiumTable!$G$4:$J$41,4,FALSE))</f>
        <v>114.04255679466463</v>
      </c>
      <c r="H331">
        <v>306</v>
      </c>
      <c r="I331">
        <v>28</v>
      </c>
      <c r="J331">
        <f t="shared" si="17"/>
        <v>28</v>
      </c>
      <c r="K331">
        <v>0.13674335982934083</v>
      </c>
      <c r="L331" t="str">
        <f t="shared" si="19"/>
        <v>Smoker</v>
      </c>
      <c r="M331">
        <f>IF(L331="Nonsmoker",VLOOKUP(PolicyholdersSimulation!J331,PremiumTable!$M$4:$P$41,4,FALSE),VLOOKUP(PolicyholdersSimulation!J331,PremiumTable!$S$4:$V$41,4,FALSE))</f>
        <v>123.88486180420303</v>
      </c>
    </row>
    <row r="332" spans="1:13" x14ac:dyDescent="0.3">
      <c r="A332">
        <v>307</v>
      </c>
      <c r="B332">
        <v>35</v>
      </c>
      <c r="C332">
        <f t="shared" si="16"/>
        <v>35</v>
      </c>
      <c r="D332">
        <v>0.77812994026615789</v>
      </c>
      <c r="E332" t="str">
        <f t="shared" si="18"/>
        <v>Nonsmoker</v>
      </c>
      <c r="F332">
        <f>IF(E332="Nonsmoker",VLOOKUP(PolicyholdersSimulation!C332,PremiumTable!$A$4:$D$41,4,FALSE),VLOOKUP(PolicyholdersSimulation!C332,PremiumTable!$G$4:$J$41,4,FALSE))</f>
        <v>118.66696776486694</v>
      </c>
      <c r="H332">
        <v>307</v>
      </c>
      <c r="I332">
        <v>32</v>
      </c>
      <c r="J332">
        <f t="shared" si="17"/>
        <v>32</v>
      </c>
      <c r="K332">
        <v>0.37495536621817305</v>
      </c>
      <c r="L332" t="str">
        <f t="shared" si="19"/>
        <v>Nonsmoker</v>
      </c>
      <c r="M332">
        <f>IF(L332="Nonsmoker",VLOOKUP(PolicyholdersSimulation!J332,PremiumTable!$M$4:$P$41,4,FALSE),VLOOKUP(PolicyholdersSimulation!J332,PremiumTable!$S$4:$V$41,4,FALSE))</f>
        <v>93.792888886888633</v>
      </c>
    </row>
    <row r="333" spans="1:13" x14ac:dyDescent="0.3">
      <c r="A333">
        <v>308</v>
      </c>
      <c r="B333">
        <v>39</v>
      </c>
      <c r="C333">
        <f t="shared" si="16"/>
        <v>39</v>
      </c>
      <c r="D333">
        <v>4.6376941209032796E-2</v>
      </c>
      <c r="E333" t="str">
        <f t="shared" si="18"/>
        <v>Smoker</v>
      </c>
      <c r="F333">
        <f>IF(E333="Nonsmoker",VLOOKUP(PolicyholdersSimulation!C333,PremiumTable!$A$4:$D$41,4,FALSE),VLOOKUP(PolicyholdersSimulation!C333,PremiumTable!$G$4:$J$41,4,FALSE))</f>
        <v>303.5263187253961</v>
      </c>
      <c r="H333">
        <v>308</v>
      </c>
      <c r="I333">
        <v>23</v>
      </c>
      <c r="J333">
        <f t="shared" si="17"/>
        <v>23</v>
      </c>
      <c r="K333">
        <v>0.70201593461455913</v>
      </c>
      <c r="L333" t="str">
        <f t="shared" si="19"/>
        <v>Nonsmoker</v>
      </c>
      <c r="M333">
        <f>IF(L333="Nonsmoker",VLOOKUP(PolicyholdersSimulation!J333,PremiumTable!$M$4:$P$41,4,FALSE),VLOOKUP(PolicyholdersSimulation!J333,PremiumTable!$S$4:$V$41,4,FALSE))</f>
        <v>80.885782895186097</v>
      </c>
    </row>
    <row r="334" spans="1:13" x14ac:dyDescent="0.3">
      <c r="A334">
        <v>309</v>
      </c>
      <c r="B334">
        <v>31</v>
      </c>
      <c r="C334">
        <f t="shared" si="16"/>
        <v>31</v>
      </c>
      <c r="D334">
        <v>0.55377627445257349</v>
      </c>
      <c r="E334" t="str">
        <f t="shared" si="18"/>
        <v>Nonsmoker</v>
      </c>
      <c r="F334">
        <f>IF(E334="Nonsmoker",VLOOKUP(PolicyholdersSimulation!C334,PremiumTable!$A$4:$D$41,4,FALSE),VLOOKUP(PolicyholdersSimulation!C334,PremiumTable!$G$4:$J$41,4,FALSE))</f>
        <v>100.09400993488123</v>
      </c>
      <c r="H334">
        <v>309</v>
      </c>
      <c r="I334">
        <v>33</v>
      </c>
      <c r="J334">
        <f t="shared" si="17"/>
        <v>33</v>
      </c>
      <c r="K334">
        <v>0.87654196955033958</v>
      </c>
      <c r="L334" t="str">
        <f t="shared" si="19"/>
        <v>Nonsmoker</v>
      </c>
      <c r="M334">
        <f>IF(L334="Nonsmoker",VLOOKUP(PolicyholdersSimulation!J334,PremiumTable!$M$4:$P$41,4,FALSE),VLOOKUP(PolicyholdersSimulation!J334,PremiumTable!$S$4:$V$41,4,FALSE))</f>
        <v>97.645038306373721</v>
      </c>
    </row>
    <row r="335" spans="1:13" x14ac:dyDescent="0.3">
      <c r="A335">
        <v>310</v>
      </c>
      <c r="B335">
        <v>33</v>
      </c>
      <c r="C335">
        <f t="shared" si="16"/>
        <v>33</v>
      </c>
      <c r="D335">
        <v>0.53364330604459764</v>
      </c>
      <c r="E335" t="str">
        <f t="shared" si="18"/>
        <v>Nonsmoker</v>
      </c>
      <c r="F335">
        <f>IF(E335="Nonsmoker",VLOOKUP(PolicyholdersSimulation!C335,PremiumTable!$A$4:$D$41,4,FALSE),VLOOKUP(PolicyholdersSimulation!C335,PremiumTable!$G$4:$J$41,4,FALSE))</f>
        <v>108.39931664719025</v>
      </c>
      <c r="H335">
        <v>310</v>
      </c>
      <c r="I335">
        <v>24</v>
      </c>
      <c r="J335">
        <f t="shared" si="17"/>
        <v>24</v>
      </c>
      <c r="K335">
        <v>0.40751033625572863</v>
      </c>
      <c r="L335" t="str">
        <f t="shared" si="19"/>
        <v>Nonsmoker</v>
      </c>
      <c r="M335">
        <f>IF(L335="Nonsmoker",VLOOKUP(PolicyholdersSimulation!J335,PremiumTable!$M$4:$P$41,4,FALSE),VLOOKUP(PolicyholdersSimulation!J335,PremiumTable!$S$4:$V$41,4,FALSE))</f>
        <v>79.12344116938408</v>
      </c>
    </row>
    <row r="336" spans="1:13" x14ac:dyDescent="0.3">
      <c r="A336">
        <v>311</v>
      </c>
      <c r="B336">
        <v>39</v>
      </c>
      <c r="C336">
        <f t="shared" si="16"/>
        <v>39</v>
      </c>
      <c r="D336">
        <v>3.9339704598230218E-2</v>
      </c>
      <c r="E336" t="str">
        <f t="shared" si="18"/>
        <v>Smoker</v>
      </c>
      <c r="F336">
        <f>IF(E336="Nonsmoker",VLOOKUP(PolicyholdersSimulation!C336,PremiumTable!$A$4:$D$41,4,FALSE),VLOOKUP(PolicyholdersSimulation!C336,PremiumTable!$G$4:$J$41,4,FALSE))</f>
        <v>303.5263187253961</v>
      </c>
      <c r="H336">
        <v>311</v>
      </c>
      <c r="I336">
        <v>21</v>
      </c>
      <c r="J336">
        <f t="shared" si="17"/>
        <v>21</v>
      </c>
      <c r="K336">
        <v>0.31845210719980954</v>
      </c>
      <c r="L336" t="str">
        <f t="shared" si="19"/>
        <v>Nonsmoker</v>
      </c>
      <c r="M336">
        <f>IF(L336="Nonsmoker",VLOOKUP(PolicyholdersSimulation!J336,PremiumTable!$M$4:$P$41,4,FALSE),VLOOKUP(PolicyholdersSimulation!J336,PremiumTable!$S$4:$V$41,4,FALSE))</f>
        <v>83.888160082848557</v>
      </c>
    </row>
    <row r="337" spans="1:13" x14ac:dyDescent="0.3">
      <c r="A337">
        <v>312</v>
      </c>
      <c r="B337">
        <v>30</v>
      </c>
      <c r="C337">
        <f t="shared" si="16"/>
        <v>30</v>
      </c>
      <c r="D337">
        <v>0.63482233826929013</v>
      </c>
      <c r="E337" t="str">
        <f t="shared" si="18"/>
        <v>Nonsmoker</v>
      </c>
      <c r="F337">
        <f>IF(E337="Nonsmoker",VLOOKUP(PolicyholdersSimulation!C337,PremiumTable!$A$4:$D$41,4,FALSE),VLOOKUP(PolicyholdersSimulation!C337,PremiumTable!$G$4:$J$41,4,FALSE))</f>
        <v>98.268933119823288</v>
      </c>
      <c r="H337">
        <v>312</v>
      </c>
      <c r="I337">
        <v>20</v>
      </c>
      <c r="J337">
        <f t="shared" si="17"/>
        <v>20</v>
      </c>
      <c r="K337">
        <v>0.84714148344792095</v>
      </c>
      <c r="L337" t="str">
        <f t="shared" si="19"/>
        <v>Nonsmoker</v>
      </c>
      <c r="M337">
        <f>IF(L337="Nonsmoker",VLOOKUP(PolicyholdersSimulation!J337,PremiumTable!$M$4:$P$41,4,FALSE),VLOOKUP(PolicyholdersSimulation!J337,PremiumTable!$S$4:$V$41,4,FALSE))</f>
        <v>86.6404678253936</v>
      </c>
    </row>
    <row r="338" spans="1:13" x14ac:dyDescent="0.3">
      <c r="A338">
        <v>313</v>
      </c>
      <c r="B338">
        <v>35</v>
      </c>
      <c r="C338">
        <f t="shared" si="16"/>
        <v>35</v>
      </c>
      <c r="D338">
        <v>5.9823306674509191E-2</v>
      </c>
      <c r="E338" t="str">
        <f t="shared" si="18"/>
        <v>Smoker</v>
      </c>
      <c r="F338">
        <f>IF(E338="Nonsmoker",VLOOKUP(PolicyholdersSimulation!C338,PremiumTable!$A$4:$D$41,4,FALSE),VLOOKUP(PolicyholdersSimulation!C338,PremiumTable!$G$4:$J$41,4,FALSE))</f>
        <v>236.41979160208413</v>
      </c>
      <c r="H338">
        <v>313</v>
      </c>
      <c r="I338">
        <v>30</v>
      </c>
      <c r="J338">
        <f t="shared" si="17"/>
        <v>30</v>
      </c>
      <c r="K338">
        <v>0.31155486827473589</v>
      </c>
      <c r="L338" t="str">
        <f t="shared" si="19"/>
        <v>Nonsmoker</v>
      </c>
      <c r="M338">
        <f>IF(L338="Nonsmoker",VLOOKUP(PolicyholdersSimulation!J338,PremiumTable!$M$4:$P$41,4,FALSE),VLOOKUP(PolicyholdersSimulation!J338,PremiumTable!$S$4:$V$41,4,FALSE))</f>
        <v>86.835735543592065</v>
      </c>
    </row>
    <row r="339" spans="1:13" x14ac:dyDescent="0.3">
      <c r="A339">
        <v>314</v>
      </c>
      <c r="B339">
        <v>35</v>
      </c>
      <c r="C339">
        <f t="shared" si="16"/>
        <v>35</v>
      </c>
      <c r="D339">
        <v>0.88589303877803227</v>
      </c>
      <c r="E339" t="str">
        <f t="shared" si="18"/>
        <v>Nonsmoker</v>
      </c>
      <c r="F339">
        <f>IF(E339="Nonsmoker",VLOOKUP(PolicyholdersSimulation!C339,PremiumTable!$A$4:$D$41,4,FALSE),VLOOKUP(PolicyholdersSimulation!C339,PremiumTable!$G$4:$J$41,4,FALSE))</f>
        <v>118.66696776486694</v>
      </c>
      <c r="H339">
        <v>314</v>
      </c>
      <c r="I339">
        <v>25</v>
      </c>
      <c r="J339">
        <f t="shared" si="17"/>
        <v>25</v>
      </c>
      <c r="K339">
        <v>0.76176874191897281</v>
      </c>
      <c r="L339" t="str">
        <f t="shared" si="19"/>
        <v>Nonsmoker</v>
      </c>
      <c r="M339">
        <f>IF(L339="Nonsmoker",VLOOKUP(PolicyholdersSimulation!J339,PremiumTable!$M$4:$P$41,4,FALSE),VLOOKUP(PolicyholdersSimulation!J339,PremiumTable!$S$4:$V$41,4,FALSE))</f>
        <v>78.502715161507126</v>
      </c>
    </row>
    <row r="340" spans="1:13" x14ac:dyDescent="0.3">
      <c r="A340">
        <v>315</v>
      </c>
      <c r="B340">
        <v>38</v>
      </c>
      <c r="C340">
        <f t="shared" si="16"/>
        <v>38</v>
      </c>
      <c r="D340">
        <v>0.73287572268342704</v>
      </c>
      <c r="E340" t="str">
        <f t="shared" si="18"/>
        <v>Nonsmoker</v>
      </c>
      <c r="F340">
        <f>IF(E340="Nonsmoker",VLOOKUP(PolicyholdersSimulation!C340,PremiumTable!$A$4:$D$41,4,FALSE),VLOOKUP(PolicyholdersSimulation!C340,PremiumTable!$G$4:$J$41,4,FALSE))</f>
        <v>138.40856497239142</v>
      </c>
      <c r="H340">
        <v>315</v>
      </c>
      <c r="I340">
        <v>28</v>
      </c>
      <c r="J340">
        <f t="shared" si="17"/>
        <v>28</v>
      </c>
      <c r="K340">
        <v>0.75263799712939627</v>
      </c>
      <c r="L340" t="str">
        <f t="shared" si="19"/>
        <v>Nonsmoker</v>
      </c>
      <c r="M340">
        <f>IF(L340="Nonsmoker",VLOOKUP(PolicyholdersSimulation!J340,PremiumTable!$M$4:$P$41,4,FALSE),VLOOKUP(PolicyholdersSimulation!J340,PremiumTable!$S$4:$V$41,4,FALSE))</f>
        <v>81.666348165376135</v>
      </c>
    </row>
    <row r="341" spans="1:13" x14ac:dyDescent="0.3">
      <c r="A341">
        <v>316</v>
      </c>
      <c r="B341">
        <v>44</v>
      </c>
      <c r="C341">
        <f t="shared" si="16"/>
        <v>44</v>
      </c>
      <c r="D341">
        <v>0.99085262235541938</v>
      </c>
      <c r="E341" t="str">
        <f t="shared" si="18"/>
        <v>Nonsmoker</v>
      </c>
      <c r="F341">
        <f>IF(E341="Nonsmoker",VLOOKUP(PolicyholdersSimulation!C341,PremiumTable!$A$4:$D$41,4,FALSE),VLOOKUP(PolicyholdersSimulation!C341,PremiumTable!$G$4:$J$41,4,FALSE))</f>
        <v>199.52896401205433</v>
      </c>
      <c r="H341">
        <v>316</v>
      </c>
      <c r="I341">
        <v>30</v>
      </c>
      <c r="J341">
        <f t="shared" si="17"/>
        <v>30</v>
      </c>
      <c r="K341">
        <v>0.69214343396130662</v>
      </c>
      <c r="L341" t="str">
        <f t="shared" si="19"/>
        <v>Nonsmoker</v>
      </c>
      <c r="M341">
        <f>IF(L341="Nonsmoker",VLOOKUP(PolicyholdersSimulation!J341,PremiumTable!$M$4:$P$41,4,FALSE),VLOOKUP(PolicyholdersSimulation!J341,PremiumTable!$S$4:$V$41,4,FALSE))</f>
        <v>86.835735543592065</v>
      </c>
    </row>
    <row r="342" spans="1:13" x14ac:dyDescent="0.3">
      <c r="A342">
        <v>317</v>
      </c>
      <c r="B342">
        <v>43</v>
      </c>
      <c r="C342">
        <f t="shared" si="16"/>
        <v>43</v>
      </c>
      <c r="D342">
        <v>0.48906667724434627</v>
      </c>
      <c r="E342" t="str">
        <f t="shared" si="18"/>
        <v>Nonsmoker</v>
      </c>
      <c r="F342">
        <f>IF(E342="Nonsmoker",VLOOKUP(PolicyholdersSimulation!C342,PremiumTable!$A$4:$D$41,4,FALSE),VLOOKUP(PolicyholdersSimulation!C342,PremiumTable!$G$4:$J$41,4,FALSE))</f>
        <v>187.89384537033465</v>
      </c>
      <c r="H342">
        <v>317</v>
      </c>
      <c r="I342">
        <v>40</v>
      </c>
      <c r="J342">
        <f t="shared" si="17"/>
        <v>40</v>
      </c>
      <c r="K342">
        <v>0.56507982152301917</v>
      </c>
      <c r="L342" t="str">
        <f t="shared" si="19"/>
        <v>Nonsmoker</v>
      </c>
      <c r="M342">
        <f>IF(L342="Nonsmoker",VLOOKUP(PolicyholdersSimulation!J342,PremiumTable!$M$4:$P$41,4,FALSE),VLOOKUP(PolicyholdersSimulation!J342,PremiumTable!$S$4:$V$41,4,FALSE))</f>
        <v>133.66130890410457</v>
      </c>
    </row>
    <row r="343" spans="1:13" x14ac:dyDescent="0.3">
      <c r="A343">
        <v>318</v>
      </c>
      <c r="B343">
        <v>44</v>
      </c>
      <c r="C343">
        <f t="shared" si="16"/>
        <v>44</v>
      </c>
      <c r="D343">
        <v>0.21636254491345841</v>
      </c>
      <c r="E343" t="str">
        <f t="shared" si="18"/>
        <v>Nonsmoker</v>
      </c>
      <c r="F343">
        <f>IF(E343="Nonsmoker",VLOOKUP(PolicyholdersSimulation!C343,PremiumTable!$A$4:$D$41,4,FALSE),VLOOKUP(PolicyholdersSimulation!C343,PremiumTable!$G$4:$J$41,4,FALSE))</f>
        <v>199.52896401205433</v>
      </c>
      <c r="H343">
        <v>318</v>
      </c>
      <c r="I343">
        <v>33</v>
      </c>
      <c r="J343">
        <f t="shared" si="17"/>
        <v>33</v>
      </c>
      <c r="K343">
        <v>0.3054349952766936</v>
      </c>
      <c r="L343" t="str">
        <f t="shared" si="19"/>
        <v>Nonsmoker</v>
      </c>
      <c r="M343">
        <f>IF(L343="Nonsmoker",VLOOKUP(PolicyholdersSimulation!J343,PremiumTable!$M$4:$P$41,4,FALSE),VLOOKUP(PolicyholdersSimulation!J343,PremiumTable!$S$4:$V$41,4,FALSE))</f>
        <v>97.645038306373721</v>
      </c>
    </row>
    <row r="344" spans="1:13" x14ac:dyDescent="0.3">
      <c r="A344">
        <v>319</v>
      </c>
      <c r="B344">
        <v>45</v>
      </c>
      <c r="C344">
        <f t="shared" si="16"/>
        <v>45</v>
      </c>
      <c r="D344">
        <v>0.29762804678526689</v>
      </c>
      <c r="E344" t="str">
        <f t="shared" si="18"/>
        <v>Nonsmoker</v>
      </c>
      <c r="F344">
        <f>IF(E344="Nonsmoker",VLOOKUP(PolicyholdersSimulation!C344,PremiumTable!$A$4:$D$41,4,FALSE),VLOOKUP(PolicyholdersSimulation!C344,PremiumTable!$G$4:$J$41,4,FALSE))</f>
        <v>213.66497913765616</v>
      </c>
      <c r="H344">
        <v>319</v>
      </c>
      <c r="I344">
        <v>32</v>
      </c>
      <c r="J344">
        <f t="shared" si="17"/>
        <v>32</v>
      </c>
      <c r="K344">
        <v>4.5135821867099302E-2</v>
      </c>
      <c r="L344" t="str">
        <f t="shared" si="19"/>
        <v>Smoker</v>
      </c>
      <c r="M344">
        <f>IF(L344="Nonsmoker",VLOOKUP(PolicyholdersSimulation!J344,PremiumTable!$M$4:$P$41,4,FALSE),VLOOKUP(PolicyholdersSimulation!J344,PremiumTable!$S$4:$V$41,4,FALSE))</f>
        <v>162.75723971023768</v>
      </c>
    </row>
    <row r="345" spans="1:13" x14ac:dyDescent="0.3">
      <c r="A345">
        <v>320</v>
      </c>
      <c r="B345">
        <v>36</v>
      </c>
      <c r="C345">
        <f t="shared" si="16"/>
        <v>36</v>
      </c>
      <c r="D345">
        <v>0.2396502118290923</v>
      </c>
      <c r="E345" t="str">
        <f t="shared" si="18"/>
        <v>Nonsmoker</v>
      </c>
      <c r="F345">
        <f>IF(E345="Nonsmoker",VLOOKUP(PolicyholdersSimulation!C345,PremiumTable!$A$4:$D$41,4,FALSE),VLOOKUP(PolicyholdersSimulation!C345,PremiumTable!$G$4:$J$41,4,FALSE))</f>
        <v>124.81197180033109</v>
      </c>
      <c r="H345">
        <v>320</v>
      </c>
      <c r="I345">
        <v>30</v>
      </c>
      <c r="J345">
        <f t="shared" si="17"/>
        <v>30</v>
      </c>
      <c r="K345">
        <v>0.99299753079300701</v>
      </c>
      <c r="L345" t="str">
        <f t="shared" si="19"/>
        <v>Nonsmoker</v>
      </c>
      <c r="M345">
        <f>IF(L345="Nonsmoker",VLOOKUP(PolicyholdersSimulation!J345,PremiumTable!$M$4:$P$41,4,FALSE),VLOOKUP(PolicyholdersSimulation!J345,PremiumTable!$S$4:$V$41,4,FALSE))</f>
        <v>86.835735543592065</v>
      </c>
    </row>
    <row r="346" spans="1:13" x14ac:dyDescent="0.3">
      <c r="A346">
        <v>321</v>
      </c>
      <c r="B346">
        <v>32</v>
      </c>
      <c r="C346">
        <f t="shared" ref="C346:C409" si="20">IF(B346&lt;num_min,num_min,IF(B346&gt;num_max,num_max,B346))</f>
        <v>32</v>
      </c>
      <c r="D346">
        <v>0.75441993851344225</v>
      </c>
      <c r="E346" t="str">
        <f t="shared" si="18"/>
        <v>Nonsmoker</v>
      </c>
      <c r="F346">
        <f>IF(E346="Nonsmoker",VLOOKUP(PolicyholdersSimulation!C346,PremiumTable!$A$4:$D$41,4,FALSE),VLOOKUP(PolicyholdersSimulation!C346,PremiumTable!$G$4:$J$41,4,FALSE))</f>
        <v>104.12568156832383</v>
      </c>
      <c r="H346">
        <v>321</v>
      </c>
      <c r="I346">
        <v>30</v>
      </c>
      <c r="J346">
        <f t="shared" ref="J346:J409" si="21">IF(I346&lt;num_min,num_min,IF(I346&gt;num_max,num_max,I346))</f>
        <v>30</v>
      </c>
      <c r="K346">
        <v>0.43780010621747156</v>
      </c>
      <c r="L346" t="str">
        <f t="shared" si="19"/>
        <v>Nonsmoker</v>
      </c>
      <c r="M346">
        <f>IF(L346="Nonsmoker",VLOOKUP(PolicyholdersSimulation!J346,PremiumTable!$M$4:$P$41,4,FALSE),VLOOKUP(PolicyholdersSimulation!J346,PremiumTable!$S$4:$V$41,4,FALSE))</f>
        <v>86.835735543592065</v>
      </c>
    </row>
    <row r="347" spans="1:13" x14ac:dyDescent="0.3">
      <c r="A347">
        <v>322</v>
      </c>
      <c r="B347">
        <v>35</v>
      </c>
      <c r="C347">
        <f t="shared" si="20"/>
        <v>35</v>
      </c>
      <c r="D347">
        <v>0.15302245735784403</v>
      </c>
      <c r="E347" t="str">
        <f t="shared" ref="E347:E410" si="22">IF(D347&lt;=0.2,"Smoker","Nonsmoker")</f>
        <v>Smoker</v>
      </c>
      <c r="F347">
        <f>IF(E347="Nonsmoker",VLOOKUP(PolicyholdersSimulation!C347,PremiumTable!$A$4:$D$41,4,FALSE),VLOOKUP(PolicyholdersSimulation!C347,PremiumTable!$G$4:$J$41,4,FALSE))</f>
        <v>236.41979160208413</v>
      </c>
      <c r="H347">
        <v>322</v>
      </c>
      <c r="I347">
        <v>26</v>
      </c>
      <c r="J347">
        <f t="shared" si="21"/>
        <v>26</v>
      </c>
      <c r="K347">
        <v>0.97528189463669446</v>
      </c>
      <c r="L347" t="str">
        <f t="shared" ref="L347:L410" si="23">IF(K347&lt;=0.2,"Smoker","Nonsmoker")</f>
        <v>Nonsmoker</v>
      </c>
      <c r="M347">
        <f>IF(L347="Nonsmoker",VLOOKUP(PolicyholdersSimulation!J347,PremiumTable!$M$4:$P$41,4,FALSE),VLOOKUP(PolicyholdersSimulation!J347,PremiumTable!$S$4:$V$41,4,FALSE))</f>
        <v>78.904303039663105</v>
      </c>
    </row>
    <row r="348" spans="1:13" x14ac:dyDescent="0.3">
      <c r="A348">
        <v>323</v>
      </c>
      <c r="B348">
        <v>32</v>
      </c>
      <c r="C348">
        <f t="shared" si="20"/>
        <v>32</v>
      </c>
      <c r="D348">
        <v>0.5809403367939584</v>
      </c>
      <c r="E348" t="str">
        <f t="shared" si="22"/>
        <v>Nonsmoker</v>
      </c>
      <c r="F348">
        <f>IF(E348="Nonsmoker",VLOOKUP(PolicyholdersSimulation!C348,PremiumTable!$A$4:$D$41,4,FALSE),VLOOKUP(PolicyholdersSimulation!C348,PremiumTable!$G$4:$J$41,4,FALSE))</f>
        <v>104.12568156832383</v>
      </c>
      <c r="H348">
        <v>323</v>
      </c>
      <c r="I348">
        <v>42</v>
      </c>
      <c r="J348">
        <f t="shared" si="21"/>
        <v>42</v>
      </c>
      <c r="K348">
        <v>0.52686029477164409</v>
      </c>
      <c r="L348" t="str">
        <f t="shared" si="23"/>
        <v>Nonsmoker</v>
      </c>
      <c r="M348">
        <f>IF(L348="Nonsmoker",VLOOKUP(PolicyholdersSimulation!J348,PremiumTable!$M$4:$P$41,4,FALSE),VLOOKUP(PolicyholdersSimulation!J348,PremiumTable!$S$4:$V$41,4,FALSE))</f>
        <v>148.05756840612355</v>
      </c>
    </row>
    <row r="349" spans="1:13" x14ac:dyDescent="0.3">
      <c r="A349">
        <v>324</v>
      </c>
      <c r="B349">
        <v>34</v>
      </c>
      <c r="C349">
        <f t="shared" si="20"/>
        <v>34</v>
      </c>
      <c r="D349">
        <v>0.91764436741657329</v>
      </c>
      <c r="E349" t="str">
        <f t="shared" si="22"/>
        <v>Nonsmoker</v>
      </c>
      <c r="F349">
        <f>IF(E349="Nonsmoker",VLOOKUP(PolicyholdersSimulation!C349,PremiumTable!$A$4:$D$41,4,FALSE),VLOOKUP(PolicyholdersSimulation!C349,PremiumTable!$G$4:$J$41,4,FALSE))</f>
        <v>113.54812871502432</v>
      </c>
      <c r="H349">
        <v>324</v>
      </c>
      <c r="I349">
        <v>29</v>
      </c>
      <c r="J349">
        <f t="shared" si="21"/>
        <v>29</v>
      </c>
      <c r="K349">
        <v>0.77912275129302</v>
      </c>
      <c r="L349" t="str">
        <f t="shared" si="23"/>
        <v>Nonsmoker</v>
      </c>
      <c r="M349">
        <f>IF(L349="Nonsmoker",VLOOKUP(PolicyholdersSimulation!J349,PremiumTable!$M$4:$P$41,4,FALSE),VLOOKUP(PolicyholdersSimulation!J349,PremiumTable!$S$4:$V$41,4,FALSE))</f>
        <v>84.42413832124069</v>
      </c>
    </row>
    <row r="350" spans="1:13" x14ac:dyDescent="0.3">
      <c r="A350">
        <v>325</v>
      </c>
      <c r="B350">
        <v>36</v>
      </c>
      <c r="C350">
        <f t="shared" si="20"/>
        <v>36</v>
      </c>
      <c r="D350">
        <v>0.75403324480056311</v>
      </c>
      <c r="E350" t="str">
        <f t="shared" si="22"/>
        <v>Nonsmoker</v>
      </c>
      <c r="F350">
        <f>IF(E350="Nonsmoker",VLOOKUP(PolicyholdersSimulation!C350,PremiumTable!$A$4:$D$41,4,FALSE),VLOOKUP(PolicyholdersSimulation!C350,PremiumTable!$G$4:$J$41,4,FALSE))</f>
        <v>124.81197180033109</v>
      </c>
      <c r="H350">
        <v>325</v>
      </c>
      <c r="I350">
        <v>29</v>
      </c>
      <c r="J350">
        <f t="shared" si="21"/>
        <v>29</v>
      </c>
      <c r="K350">
        <v>0.63682387113214878</v>
      </c>
      <c r="L350" t="str">
        <f t="shared" si="23"/>
        <v>Nonsmoker</v>
      </c>
      <c r="M350">
        <f>IF(L350="Nonsmoker",VLOOKUP(PolicyholdersSimulation!J350,PremiumTable!$M$4:$P$41,4,FALSE),VLOOKUP(PolicyholdersSimulation!J350,PremiumTable!$S$4:$V$41,4,FALSE))</f>
        <v>84.42413832124069</v>
      </c>
    </row>
    <row r="351" spans="1:13" x14ac:dyDescent="0.3">
      <c r="A351">
        <v>326</v>
      </c>
      <c r="B351">
        <v>50</v>
      </c>
      <c r="C351">
        <f t="shared" si="20"/>
        <v>50</v>
      </c>
      <c r="D351">
        <v>6.2269979835160028E-3</v>
      </c>
      <c r="E351" t="str">
        <f t="shared" si="22"/>
        <v>Smoker</v>
      </c>
      <c r="F351">
        <f>IF(E351="Nonsmoker",VLOOKUP(PolicyholdersSimulation!C351,PremiumTable!$A$4:$D$41,4,FALSE),VLOOKUP(PolicyholdersSimulation!C351,PremiumTable!$G$4:$J$41,4,FALSE))</f>
        <v>857.93932355545394</v>
      </c>
      <c r="H351">
        <v>326</v>
      </c>
      <c r="I351">
        <v>20</v>
      </c>
      <c r="J351">
        <f t="shared" si="21"/>
        <v>20</v>
      </c>
      <c r="K351">
        <v>0.5632582738628763</v>
      </c>
      <c r="L351" t="str">
        <f t="shared" si="23"/>
        <v>Nonsmoker</v>
      </c>
      <c r="M351">
        <f>IF(L351="Nonsmoker",VLOOKUP(PolicyholdersSimulation!J351,PremiumTable!$M$4:$P$41,4,FALSE),VLOOKUP(PolicyholdersSimulation!J351,PremiumTable!$S$4:$V$41,4,FALSE))</f>
        <v>86.6404678253936</v>
      </c>
    </row>
    <row r="352" spans="1:13" x14ac:dyDescent="0.3">
      <c r="A352">
        <v>327</v>
      </c>
      <c r="B352">
        <v>43</v>
      </c>
      <c r="C352">
        <f t="shared" si="20"/>
        <v>43</v>
      </c>
      <c r="D352">
        <v>0.17523578274847329</v>
      </c>
      <c r="E352" t="str">
        <f t="shared" si="22"/>
        <v>Smoker</v>
      </c>
      <c r="F352">
        <f>IF(E352="Nonsmoker",VLOOKUP(PolicyholdersSimulation!C352,PremiumTable!$A$4:$D$41,4,FALSE),VLOOKUP(PolicyholdersSimulation!C352,PremiumTable!$G$4:$J$41,4,FALSE))</f>
        <v>423.67875339275895</v>
      </c>
      <c r="H352">
        <v>327</v>
      </c>
      <c r="I352">
        <v>37</v>
      </c>
      <c r="J352">
        <f t="shared" si="21"/>
        <v>37</v>
      </c>
      <c r="K352">
        <v>0.41730066089337403</v>
      </c>
      <c r="L352" t="str">
        <f t="shared" si="23"/>
        <v>Nonsmoker</v>
      </c>
      <c r="M352">
        <f>IF(L352="Nonsmoker",VLOOKUP(PolicyholdersSimulation!J352,PremiumTable!$M$4:$P$41,4,FALSE),VLOOKUP(PolicyholdersSimulation!J352,PremiumTable!$S$4:$V$41,4,FALSE))</f>
        <v>116.32337590156675</v>
      </c>
    </row>
    <row r="353" spans="1:13" x14ac:dyDescent="0.3">
      <c r="A353">
        <v>328</v>
      </c>
      <c r="B353">
        <v>24</v>
      </c>
      <c r="C353">
        <f t="shared" si="20"/>
        <v>24</v>
      </c>
      <c r="D353">
        <v>0.18427355085134467</v>
      </c>
      <c r="E353" t="str">
        <f t="shared" si="22"/>
        <v>Smoker</v>
      </c>
      <c r="F353">
        <f>IF(E353="Nonsmoker",VLOOKUP(PolicyholdersSimulation!C353,PremiumTable!$A$4:$D$41,4,FALSE),VLOOKUP(PolicyholdersSimulation!C353,PremiumTable!$G$4:$J$41,4,FALSE))</f>
        <v>147.95395845312291</v>
      </c>
      <c r="H353">
        <v>328</v>
      </c>
      <c r="I353">
        <v>32</v>
      </c>
      <c r="J353">
        <f t="shared" si="21"/>
        <v>32</v>
      </c>
      <c r="K353">
        <v>0.7886995289579305</v>
      </c>
      <c r="L353" t="str">
        <f t="shared" si="23"/>
        <v>Nonsmoker</v>
      </c>
      <c r="M353">
        <f>IF(L353="Nonsmoker",VLOOKUP(PolicyholdersSimulation!J353,PremiumTable!$M$4:$P$41,4,FALSE),VLOOKUP(PolicyholdersSimulation!J353,PremiumTable!$S$4:$V$41,4,FALSE))</f>
        <v>93.792888886888633</v>
      </c>
    </row>
    <row r="354" spans="1:13" x14ac:dyDescent="0.3">
      <c r="A354">
        <v>329</v>
      </c>
      <c r="B354">
        <v>29</v>
      </c>
      <c r="C354">
        <f t="shared" si="20"/>
        <v>29</v>
      </c>
      <c r="D354">
        <v>0.30895377571421867</v>
      </c>
      <c r="E354" t="str">
        <f t="shared" si="22"/>
        <v>Nonsmoker</v>
      </c>
      <c r="F354">
        <f>IF(E354="Nonsmoker",VLOOKUP(PolicyholdersSimulation!C354,PremiumTable!$A$4:$D$41,4,FALSE),VLOOKUP(PolicyholdersSimulation!C354,PremiumTable!$G$4:$J$41,4,FALSE))</f>
        <v>97.884728277152888</v>
      </c>
      <c r="H354">
        <v>329</v>
      </c>
      <c r="I354">
        <v>33</v>
      </c>
      <c r="J354">
        <f t="shared" si="21"/>
        <v>33</v>
      </c>
      <c r="K354">
        <v>0.81395089154528677</v>
      </c>
      <c r="L354" t="str">
        <f t="shared" si="23"/>
        <v>Nonsmoker</v>
      </c>
      <c r="M354">
        <f>IF(L354="Nonsmoker",VLOOKUP(PolicyholdersSimulation!J354,PremiumTable!$M$4:$P$41,4,FALSE),VLOOKUP(PolicyholdersSimulation!J354,PremiumTable!$S$4:$V$41,4,FALSE))</f>
        <v>97.645038306373721</v>
      </c>
    </row>
    <row r="355" spans="1:13" x14ac:dyDescent="0.3">
      <c r="A355">
        <v>330</v>
      </c>
      <c r="B355">
        <v>39</v>
      </c>
      <c r="C355">
        <f t="shared" si="20"/>
        <v>39</v>
      </c>
      <c r="D355">
        <v>0.39474685878535676</v>
      </c>
      <c r="E355" t="str">
        <f t="shared" si="22"/>
        <v>Nonsmoker</v>
      </c>
      <c r="F355">
        <f>IF(E355="Nonsmoker",VLOOKUP(PolicyholdersSimulation!C355,PremiumTable!$A$4:$D$41,4,FALSE),VLOOKUP(PolicyholdersSimulation!C355,PremiumTable!$G$4:$J$41,4,FALSE))</f>
        <v>147.47819581803472</v>
      </c>
      <c r="H355">
        <v>330</v>
      </c>
      <c r="I355">
        <v>29</v>
      </c>
      <c r="J355">
        <f t="shared" si="21"/>
        <v>29</v>
      </c>
      <c r="K355">
        <v>0.44511716888448893</v>
      </c>
      <c r="L355" t="str">
        <f t="shared" si="23"/>
        <v>Nonsmoker</v>
      </c>
      <c r="M355">
        <f>IF(L355="Nonsmoker",VLOOKUP(PolicyholdersSimulation!J355,PremiumTable!$M$4:$P$41,4,FALSE),VLOOKUP(PolicyholdersSimulation!J355,PremiumTable!$S$4:$V$41,4,FALSE))</f>
        <v>84.42413832124069</v>
      </c>
    </row>
    <row r="356" spans="1:13" x14ac:dyDescent="0.3">
      <c r="A356">
        <v>331</v>
      </c>
      <c r="B356">
        <v>42</v>
      </c>
      <c r="C356">
        <f t="shared" si="20"/>
        <v>42</v>
      </c>
      <c r="D356">
        <v>0.546464079069088</v>
      </c>
      <c r="E356" t="str">
        <f t="shared" si="22"/>
        <v>Nonsmoker</v>
      </c>
      <c r="F356">
        <f>IF(E356="Nonsmoker",VLOOKUP(PolicyholdersSimulation!C356,PremiumTable!$A$4:$D$41,4,FALSE),VLOOKUP(PolicyholdersSimulation!C356,PremiumTable!$G$4:$J$41,4,FALSE))</f>
        <v>177.00343034109287</v>
      </c>
      <c r="H356">
        <v>331</v>
      </c>
      <c r="I356">
        <v>34</v>
      </c>
      <c r="J356">
        <f t="shared" si="21"/>
        <v>34</v>
      </c>
      <c r="K356">
        <v>0.93056987350918341</v>
      </c>
      <c r="L356" t="str">
        <f t="shared" si="23"/>
        <v>Nonsmoker</v>
      </c>
      <c r="M356">
        <f>IF(L356="Nonsmoker",VLOOKUP(PolicyholdersSimulation!J356,PremiumTable!$M$4:$P$41,4,FALSE),VLOOKUP(PolicyholdersSimulation!J356,PremiumTable!$S$4:$V$41,4,FALSE))</f>
        <v>101.73968585979277</v>
      </c>
    </row>
    <row r="357" spans="1:13" x14ac:dyDescent="0.3">
      <c r="A357">
        <v>332</v>
      </c>
      <c r="B357">
        <v>32</v>
      </c>
      <c r="C357">
        <f t="shared" si="20"/>
        <v>32</v>
      </c>
      <c r="D357">
        <v>0.46157557166641838</v>
      </c>
      <c r="E357" t="str">
        <f t="shared" si="22"/>
        <v>Nonsmoker</v>
      </c>
      <c r="F357">
        <f>IF(E357="Nonsmoker",VLOOKUP(PolicyholdersSimulation!C357,PremiumTable!$A$4:$D$41,4,FALSE),VLOOKUP(PolicyholdersSimulation!C357,PremiumTable!$G$4:$J$41,4,FALSE))</f>
        <v>104.12568156832383</v>
      </c>
      <c r="H357">
        <v>332</v>
      </c>
      <c r="I357">
        <v>29</v>
      </c>
      <c r="J357">
        <f t="shared" si="21"/>
        <v>29</v>
      </c>
      <c r="K357">
        <v>0.98988416461005735</v>
      </c>
      <c r="L357" t="str">
        <f t="shared" si="23"/>
        <v>Nonsmoker</v>
      </c>
      <c r="M357">
        <f>IF(L357="Nonsmoker",VLOOKUP(PolicyholdersSimulation!J357,PremiumTable!$M$4:$P$41,4,FALSE),VLOOKUP(PolicyholdersSimulation!J357,PremiumTable!$S$4:$V$41,4,FALSE))</f>
        <v>84.42413832124069</v>
      </c>
    </row>
    <row r="358" spans="1:13" x14ac:dyDescent="0.3">
      <c r="A358">
        <v>333</v>
      </c>
      <c r="B358">
        <v>32</v>
      </c>
      <c r="C358">
        <f t="shared" si="20"/>
        <v>32</v>
      </c>
      <c r="D358">
        <v>0.51541889759941717</v>
      </c>
      <c r="E358" t="str">
        <f t="shared" si="22"/>
        <v>Nonsmoker</v>
      </c>
      <c r="F358">
        <f>IF(E358="Nonsmoker",VLOOKUP(PolicyholdersSimulation!C358,PremiumTable!$A$4:$D$41,4,FALSE),VLOOKUP(PolicyholdersSimulation!C358,PremiumTable!$G$4:$J$41,4,FALSE))</f>
        <v>104.12568156832383</v>
      </c>
      <c r="H358">
        <v>333</v>
      </c>
      <c r="I358">
        <v>23</v>
      </c>
      <c r="J358">
        <f t="shared" si="21"/>
        <v>23</v>
      </c>
      <c r="K358">
        <v>0.94672948496133247</v>
      </c>
      <c r="L358" t="str">
        <f t="shared" si="23"/>
        <v>Nonsmoker</v>
      </c>
      <c r="M358">
        <f>IF(L358="Nonsmoker",VLOOKUP(PolicyholdersSimulation!J358,PremiumTable!$M$4:$P$41,4,FALSE),VLOOKUP(PolicyholdersSimulation!J358,PremiumTable!$S$4:$V$41,4,FALSE))</f>
        <v>80.885782895186097</v>
      </c>
    </row>
    <row r="359" spans="1:13" x14ac:dyDescent="0.3">
      <c r="A359">
        <v>334</v>
      </c>
      <c r="B359">
        <v>34</v>
      </c>
      <c r="C359">
        <f t="shared" si="20"/>
        <v>34</v>
      </c>
      <c r="D359">
        <v>0.8438376102005527</v>
      </c>
      <c r="E359" t="str">
        <f t="shared" si="22"/>
        <v>Nonsmoker</v>
      </c>
      <c r="F359">
        <f>IF(E359="Nonsmoker",VLOOKUP(PolicyholdersSimulation!C359,PremiumTable!$A$4:$D$41,4,FALSE),VLOOKUP(PolicyholdersSimulation!C359,PremiumTable!$G$4:$J$41,4,FALSE))</f>
        <v>113.54812871502432</v>
      </c>
      <c r="H359">
        <v>334</v>
      </c>
      <c r="I359">
        <v>26</v>
      </c>
      <c r="J359">
        <f t="shared" si="21"/>
        <v>26</v>
      </c>
      <c r="K359">
        <v>0.98417291660240558</v>
      </c>
      <c r="L359" t="str">
        <f t="shared" si="23"/>
        <v>Nonsmoker</v>
      </c>
      <c r="M359">
        <f>IF(L359="Nonsmoker",VLOOKUP(PolicyholdersSimulation!J359,PremiumTable!$M$4:$P$41,4,FALSE),VLOOKUP(PolicyholdersSimulation!J359,PremiumTable!$S$4:$V$41,4,FALSE))</f>
        <v>78.904303039663105</v>
      </c>
    </row>
    <row r="360" spans="1:13" x14ac:dyDescent="0.3">
      <c r="A360">
        <v>335</v>
      </c>
      <c r="B360">
        <v>39</v>
      </c>
      <c r="C360">
        <f t="shared" si="20"/>
        <v>39</v>
      </c>
      <c r="D360">
        <v>0.18282545670383832</v>
      </c>
      <c r="E360" t="str">
        <f t="shared" si="22"/>
        <v>Smoker</v>
      </c>
      <c r="F360">
        <f>IF(E360="Nonsmoker",VLOOKUP(PolicyholdersSimulation!C360,PremiumTable!$A$4:$D$41,4,FALSE),VLOOKUP(PolicyholdersSimulation!C360,PremiumTable!$G$4:$J$41,4,FALSE))</f>
        <v>303.5263187253961</v>
      </c>
      <c r="H360">
        <v>335</v>
      </c>
      <c r="I360">
        <v>28</v>
      </c>
      <c r="J360">
        <f t="shared" si="21"/>
        <v>28</v>
      </c>
      <c r="K360">
        <v>0.6892161449707277</v>
      </c>
      <c r="L360" t="str">
        <f t="shared" si="23"/>
        <v>Nonsmoker</v>
      </c>
      <c r="M360">
        <f>IF(L360="Nonsmoker",VLOOKUP(PolicyholdersSimulation!J360,PremiumTable!$M$4:$P$41,4,FALSE),VLOOKUP(PolicyholdersSimulation!J360,PremiumTable!$S$4:$V$41,4,FALSE))</f>
        <v>81.666348165376135</v>
      </c>
    </row>
    <row r="361" spans="1:13" x14ac:dyDescent="0.3">
      <c r="A361">
        <v>336</v>
      </c>
      <c r="B361">
        <v>39</v>
      </c>
      <c r="C361">
        <f t="shared" si="20"/>
        <v>39</v>
      </c>
      <c r="D361">
        <v>0.79786531064842225</v>
      </c>
      <c r="E361" t="str">
        <f t="shared" si="22"/>
        <v>Nonsmoker</v>
      </c>
      <c r="F361">
        <f>IF(E361="Nonsmoker",VLOOKUP(PolicyholdersSimulation!C361,PremiumTable!$A$4:$D$41,4,FALSE),VLOOKUP(PolicyholdersSimulation!C361,PremiumTable!$G$4:$J$41,4,FALSE))</f>
        <v>147.47819581803472</v>
      </c>
      <c r="H361">
        <v>336</v>
      </c>
      <c r="I361">
        <v>24</v>
      </c>
      <c r="J361">
        <f t="shared" si="21"/>
        <v>24</v>
      </c>
      <c r="K361">
        <v>0.87560864811800854</v>
      </c>
      <c r="L361" t="str">
        <f t="shared" si="23"/>
        <v>Nonsmoker</v>
      </c>
      <c r="M361">
        <f>IF(L361="Nonsmoker",VLOOKUP(PolicyholdersSimulation!J361,PremiumTable!$M$4:$P$41,4,FALSE),VLOOKUP(PolicyholdersSimulation!J361,PremiumTable!$S$4:$V$41,4,FALSE))</f>
        <v>79.12344116938408</v>
      </c>
    </row>
    <row r="362" spans="1:13" x14ac:dyDescent="0.3">
      <c r="A362">
        <v>337</v>
      </c>
      <c r="B362">
        <v>32</v>
      </c>
      <c r="C362">
        <f t="shared" si="20"/>
        <v>32</v>
      </c>
      <c r="D362">
        <v>0.61026768994671798</v>
      </c>
      <c r="E362" t="str">
        <f t="shared" si="22"/>
        <v>Nonsmoker</v>
      </c>
      <c r="F362">
        <f>IF(E362="Nonsmoker",VLOOKUP(PolicyholdersSimulation!C362,PremiumTable!$A$4:$D$41,4,FALSE),VLOOKUP(PolicyholdersSimulation!C362,PremiumTable!$G$4:$J$41,4,FALSE))</f>
        <v>104.12568156832383</v>
      </c>
      <c r="H362">
        <v>337</v>
      </c>
      <c r="I362">
        <v>44</v>
      </c>
      <c r="J362">
        <f t="shared" si="21"/>
        <v>44</v>
      </c>
      <c r="K362">
        <v>0.75694198584241934</v>
      </c>
      <c r="L362" t="str">
        <f t="shared" si="23"/>
        <v>Nonsmoker</v>
      </c>
      <c r="M362">
        <f>IF(L362="Nonsmoker",VLOOKUP(PolicyholdersSimulation!J362,PremiumTable!$M$4:$P$41,4,FALSE),VLOOKUP(PolicyholdersSimulation!J362,PremiumTable!$S$4:$V$41,4,FALSE))</f>
        <v>165.52562140357261</v>
      </c>
    </row>
    <row r="363" spans="1:13" x14ac:dyDescent="0.3">
      <c r="A363">
        <v>338</v>
      </c>
      <c r="B363">
        <v>30</v>
      </c>
      <c r="C363">
        <f t="shared" si="20"/>
        <v>30</v>
      </c>
      <c r="D363">
        <v>0.96623172454822703</v>
      </c>
      <c r="E363" t="str">
        <f t="shared" si="22"/>
        <v>Nonsmoker</v>
      </c>
      <c r="F363">
        <f>IF(E363="Nonsmoker",VLOOKUP(PolicyholdersSimulation!C363,PremiumTable!$A$4:$D$41,4,FALSE),VLOOKUP(PolicyholdersSimulation!C363,PremiumTable!$G$4:$J$41,4,FALSE))</f>
        <v>98.268933119823288</v>
      </c>
      <c r="H363">
        <v>338</v>
      </c>
      <c r="I363">
        <v>35</v>
      </c>
      <c r="J363">
        <f t="shared" si="21"/>
        <v>35</v>
      </c>
      <c r="K363">
        <v>0.76048931098857731</v>
      </c>
      <c r="L363" t="str">
        <f t="shared" si="23"/>
        <v>Nonsmoker</v>
      </c>
      <c r="M363">
        <f>IF(L363="Nonsmoker",VLOOKUP(PolicyholdersSimulation!J363,PremiumTable!$M$4:$P$41,4,FALSE),VLOOKUP(PolicyholdersSimulation!J363,PremiumTable!$S$4:$V$41,4,FALSE))</f>
        <v>106.37942043914147</v>
      </c>
    </row>
    <row r="364" spans="1:13" x14ac:dyDescent="0.3">
      <c r="A364">
        <v>339</v>
      </c>
      <c r="B364">
        <v>35</v>
      </c>
      <c r="C364">
        <f t="shared" si="20"/>
        <v>35</v>
      </c>
      <c r="D364">
        <v>0.53032717291918285</v>
      </c>
      <c r="E364" t="str">
        <f t="shared" si="22"/>
        <v>Nonsmoker</v>
      </c>
      <c r="F364">
        <f>IF(E364="Nonsmoker",VLOOKUP(PolicyholdersSimulation!C364,PremiumTable!$A$4:$D$41,4,FALSE),VLOOKUP(PolicyholdersSimulation!C364,PremiumTable!$G$4:$J$41,4,FALSE))</f>
        <v>118.66696776486694</v>
      </c>
      <c r="H364">
        <v>339</v>
      </c>
      <c r="I364">
        <v>35</v>
      </c>
      <c r="J364">
        <f t="shared" si="21"/>
        <v>35</v>
      </c>
      <c r="K364">
        <v>0.50338901856004215</v>
      </c>
      <c r="L364" t="str">
        <f t="shared" si="23"/>
        <v>Nonsmoker</v>
      </c>
      <c r="M364">
        <f>IF(L364="Nonsmoker",VLOOKUP(PolicyholdersSimulation!J364,PremiumTable!$M$4:$P$41,4,FALSE),VLOOKUP(PolicyholdersSimulation!J364,PremiumTable!$S$4:$V$41,4,FALSE))</f>
        <v>106.37942043914147</v>
      </c>
    </row>
    <row r="365" spans="1:13" x14ac:dyDescent="0.3">
      <c r="A365">
        <v>340</v>
      </c>
      <c r="B365">
        <v>35</v>
      </c>
      <c r="C365">
        <f t="shared" si="20"/>
        <v>35</v>
      </c>
      <c r="D365">
        <v>0.61557958675710622</v>
      </c>
      <c r="E365" t="str">
        <f t="shared" si="22"/>
        <v>Nonsmoker</v>
      </c>
      <c r="F365">
        <f>IF(E365="Nonsmoker",VLOOKUP(PolicyholdersSimulation!C365,PremiumTable!$A$4:$D$41,4,FALSE),VLOOKUP(PolicyholdersSimulation!C365,PremiumTable!$G$4:$J$41,4,FALSE))</f>
        <v>118.66696776486694</v>
      </c>
      <c r="H365">
        <v>340</v>
      </c>
      <c r="I365">
        <v>39</v>
      </c>
      <c r="J365">
        <f t="shared" si="21"/>
        <v>39</v>
      </c>
      <c r="K365">
        <v>0.99529394578984387</v>
      </c>
      <c r="L365" t="str">
        <f t="shared" si="23"/>
        <v>Nonsmoker</v>
      </c>
      <c r="M365">
        <f>IF(L365="Nonsmoker",VLOOKUP(PolicyholdersSimulation!J365,PremiumTable!$M$4:$P$41,4,FALSE),VLOOKUP(PolicyholdersSimulation!J365,PremiumTable!$S$4:$V$41,4,FALSE))</f>
        <v>127.51379701253681</v>
      </c>
    </row>
    <row r="366" spans="1:13" x14ac:dyDescent="0.3">
      <c r="A366">
        <v>341</v>
      </c>
      <c r="B366">
        <v>43</v>
      </c>
      <c r="C366">
        <f t="shared" si="20"/>
        <v>43</v>
      </c>
      <c r="D366">
        <v>0.53192032604106576</v>
      </c>
      <c r="E366" t="str">
        <f t="shared" si="22"/>
        <v>Nonsmoker</v>
      </c>
      <c r="F366">
        <f>IF(E366="Nonsmoker",VLOOKUP(PolicyholdersSimulation!C366,PremiumTable!$A$4:$D$41,4,FALSE),VLOOKUP(PolicyholdersSimulation!C366,PremiumTable!$G$4:$J$41,4,FALSE))</f>
        <v>187.89384537033465</v>
      </c>
      <c r="H366">
        <v>341</v>
      </c>
      <c r="I366">
        <v>21</v>
      </c>
      <c r="J366">
        <f t="shared" si="21"/>
        <v>21</v>
      </c>
      <c r="K366">
        <v>0.46917716215497629</v>
      </c>
      <c r="L366" t="str">
        <f t="shared" si="23"/>
        <v>Nonsmoker</v>
      </c>
      <c r="M366">
        <f>IF(L366="Nonsmoker",VLOOKUP(PolicyholdersSimulation!J366,PremiumTable!$M$4:$P$41,4,FALSE),VLOOKUP(PolicyholdersSimulation!J366,PremiumTable!$S$4:$V$41,4,FALSE))</f>
        <v>83.888160082848557</v>
      </c>
    </row>
    <row r="367" spans="1:13" x14ac:dyDescent="0.3">
      <c r="A367">
        <v>342</v>
      </c>
      <c r="B367">
        <v>35</v>
      </c>
      <c r="C367">
        <f t="shared" si="20"/>
        <v>35</v>
      </c>
      <c r="D367">
        <v>0.42187231217221299</v>
      </c>
      <c r="E367" t="str">
        <f t="shared" si="22"/>
        <v>Nonsmoker</v>
      </c>
      <c r="F367">
        <f>IF(E367="Nonsmoker",VLOOKUP(PolicyholdersSimulation!C367,PremiumTable!$A$4:$D$41,4,FALSE),VLOOKUP(PolicyholdersSimulation!C367,PremiumTable!$G$4:$J$41,4,FALSE))</f>
        <v>118.66696776486694</v>
      </c>
      <c r="H367">
        <v>342</v>
      </c>
      <c r="I367">
        <v>14</v>
      </c>
      <c r="J367">
        <f t="shared" si="21"/>
        <v>18</v>
      </c>
      <c r="K367">
        <v>0.5810889465106942</v>
      </c>
      <c r="L367" t="str">
        <f t="shared" si="23"/>
        <v>Nonsmoker</v>
      </c>
      <c r="M367">
        <f>IF(L367="Nonsmoker",VLOOKUP(PolicyholdersSimulation!J367,PremiumTable!$M$4:$P$41,4,FALSE),VLOOKUP(PolicyholdersSimulation!J367,PremiumTable!$S$4:$V$41,4,FALSE))</f>
        <v>93.301230978319609</v>
      </c>
    </row>
    <row r="368" spans="1:13" x14ac:dyDescent="0.3">
      <c r="A368">
        <v>343</v>
      </c>
      <c r="B368">
        <v>28</v>
      </c>
      <c r="C368">
        <f t="shared" si="20"/>
        <v>28</v>
      </c>
      <c r="D368">
        <v>0.15016374836541391</v>
      </c>
      <c r="E368" t="str">
        <f t="shared" si="22"/>
        <v>Smoker</v>
      </c>
      <c r="F368">
        <f>IF(E368="Nonsmoker",VLOOKUP(PolicyholdersSimulation!C368,PremiumTable!$A$4:$D$41,4,FALSE),VLOOKUP(PolicyholdersSimulation!C368,PremiumTable!$G$4:$J$41,4,FALSE))</f>
        <v>156.97924447113215</v>
      </c>
      <c r="H368">
        <v>343</v>
      </c>
      <c r="I368">
        <v>26</v>
      </c>
      <c r="J368">
        <f t="shared" si="21"/>
        <v>26</v>
      </c>
      <c r="K368">
        <v>0.95895168565200195</v>
      </c>
      <c r="L368" t="str">
        <f t="shared" si="23"/>
        <v>Nonsmoker</v>
      </c>
      <c r="M368">
        <f>IF(L368="Nonsmoker",VLOOKUP(PolicyholdersSimulation!J368,PremiumTable!$M$4:$P$41,4,FALSE),VLOOKUP(PolicyholdersSimulation!J368,PremiumTable!$S$4:$V$41,4,FALSE))</f>
        <v>78.904303039663105</v>
      </c>
    </row>
    <row r="369" spans="1:13" x14ac:dyDescent="0.3">
      <c r="A369">
        <v>344</v>
      </c>
      <c r="B369">
        <v>39</v>
      </c>
      <c r="C369">
        <f t="shared" si="20"/>
        <v>39</v>
      </c>
      <c r="D369">
        <v>0.75357282021243122</v>
      </c>
      <c r="E369" t="str">
        <f t="shared" si="22"/>
        <v>Nonsmoker</v>
      </c>
      <c r="F369">
        <f>IF(E369="Nonsmoker",VLOOKUP(PolicyholdersSimulation!C369,PremiumTable!$A$4:$D$41,4,FALSE),VLOOKUP(PolicyholdersSimulation!C369,PremiumTable!$G$4:$J$41,4,FALSE))</f>
        <v>147.47819581803472</v>
      </c>
      <c r="H369">
        <v>344</v>
      </c>
      <c r="I369">
        <v>39</v>
      </c>
      <c r="J369">
        <f t="shared" si="21"/>
        <v>39</v>
      </c>
      <c r="K369">
        <v>0.74205898772938705</v>
      </c>
      <c r="L369" t="str">
        <f t="shared" si="23"/>
        <v>Nonsmoker</v>
      </c>
      <c r="M369">
        <f>IF(L369="Nonsmoker",VLOOKUP(PolicyholdersSimulation!J369,PremiumTable!$M$4:$P$41,4,FALSE),VLOOKUP(PolicyholdersSimulation!J369,PremiumTable!$S$4:$V$41,4,FALSE))</f>
        <v>127.51379701253681</v>
      </c>
    </row>
    <row r="370" spans="1:13" x14ac:dyDescent="0.3">
      <c r="A370">
        <v>345</v>
      </c>
      <c r="B370">
        <v>39</v>
      </c>
      <c r="C370">
        <f t="shared" si="20"/>
        <v>39</v>
      </c>
      <c r="D370">
        <v>0.75996100469068284</v>
      </c>
      <c r="E370" t="str">
        <f t="shared" si="22"/>
        <v>Nonsmoker</v>
      </c>
      <c r="F370">
        <f>IF(E370="Nonsmoker",VLOOKUP(PolicyholdersSimulation!C370,PremiumTable!$A$4:$D$41,4,FALSE),VLOOKUP(PolicyholdersSimulation!C370,PremiumTable!$G$4:$J$41,4,FALSE))</f>
        <v>147.47819581803472</v>
      </c>
      <c r="H370">
        <v>345</v>
      </c>
      <c r="I370">
        <v>20</v>
      </c>
      <c r="J370">
        <f t="shared" si="21"/>
        <v>20</v>
      </c>
      <c r="K370">
        <v>0.60460431506339685</v>
      </c>
      <c r="L370" t="str">
        <f t="shared" si="23"/>
        <v>Nonsmoker</v>
      </c>
      <c r="M370">
        <f>IF(L370="Nonsmoker",VLOOKUP(PolicyholdersSimulation!J370,PremiumTable!$M$4:$P$41,4,FALSE),VLOOKUP(PolicyholdersSimulation!J370,PremiumTable!$S$4:$V$41,4,FALSE))</f>
        <v>86.6404678253936</v>
      </c>
    </row>
    <row r="371" spans="1:13" x14ac:dyDescent="0.3">
      <c r="A371">
        <v>346</v>
      </c>
      <c r="B371">
        <v>41</v>
      </c>
      <c r="C371">
        <f t="shared" si="20"/>
        <v>41</v>
      </c>
      <c r="D371">
        <v>0.93784771801049871</v>
      </c>
      <c r="E371" t="str">
        <f t="shared" si="22"/>
        <v>Nonsmoker</v>
      </c>
      <c r="F371">
        <f>IF(E371="Nonsmoker",VLOOKUP(PolicyholdersSimulation!C371,PremiumTable!$A$4:$D$41,4,FALSE),VLOOKUP(PolicyholdersSimulation!C371,PremiumTable!$G$4:$J$41,4,FALSE))</f>
        <v>167.10777343661104</v>
      </c>
      <c r="H371">
        <v>346</v>
      </c>
      <c r="I371">
        <v>36</v>
      </c>
      <c r="J371">
        <f t="shared" si="21"/>
        <v>36</v>
      </c>
      <c r="K371">
        <v>0.92805174781119038</v>
      </c>
      <c r="L371" t="str">
        <f t="shared" si="23"/>
        <v>Nonsmoker</v>
      </c>
      <c r="M371">
        <f>IF(L371="Nonsmoker",VLOOKUP(PolicyholdersSimulation!J371,PremiumTable!$M$4:$P$41,4,FALSE),VLOOKUP(PolicyholdersSimulation!J371,PremiumTable!$S$4:$V$41,4,FALSE))</f>
        <v>111.05506919808718</v>
      </c>
    </row>
    <row r="372" spans="1:13" x14ac:dyDescent="0.3">
      <c r="A372">
        <v>347</v>
      </c>
      <c r="B372">
        <v>37</v>
      </c>
      <c r="C372">
        <f t="shared" si="20"/>
        <v>37</v>
      </c>
      <c r="D372">
        <v>0.69305886757401591</v>
      </c>
      <c r="E372" t="str">
        <f t="shared" si="22"/>
        <v>Nonsmoker</v>
      </c>
      <c r="F372">
        <f>IF(E372="Nonsmoker",VLOOKUP(PolicyholdersSimulation!C372,PremiumTable!$A$4:$D$41,4,FALSE),VLOOKUP(PolicyholdersSimulation!C372,PremiumTable!$G$4:$J$41,4,FALSE))</f>
        <v>131.04073052327638</v>
      </c>
      <c r="H372">
        <v>347</v>
      </c>
      <c r="I372">
        <v>25</v>
      </c>
      <c r="J372">
        <f t="shared" si="21"/>
        <v>25</v>
      </c>
      <c r="K372">
        <v>0.81195835286389184</v>
      </c>
      <c r="L372" t="str">
        <f t="shared" si="23"/>
        <v>Nonsmoker</v>
      </c>
      <c r="M372">
        <f>IF(L372="Nonsmoker",VLOOKUP(PolicyholdersSimulation!J372,PremiumTable!$M$4:$P$41,4,FALSE),VLOOKUP(PolicyholdersSimulation!J372,PremiumTable!$S$4:$V$41,4,FALSE))</f>
        <v>78.502715161507126</v>
      </c>
    </row>
    <row r="373" spans="1:13" x14ac:dyDescent="0.3">
      <c r="A373">
        <v>348</v>
      </c>
      <c r="B373">
        <v>34</v>
      </c>
      <c r="C373">
        <f t="shared" si="20"/>
        <v>34</v>
      </c>
      <c r="D373">
        <v>0.15582500622127671</v>
      </c>
      <c r="E373" t="str">
        <f t="shared" si="22"/>
        <v>Smoker</v>
      </c>
      <c r="F373">
        <f>IF(E373="Nonsmoker",VLOOKUP(PolicyholdersSimulation!C373,PremiumTable!$A$4:$D$41,4,FALSE),VLOOKUP(PolicyholdersSimulation!C373,PremiumTable!$G$4:$J$41,4,FALSE))</f>
        <v>225.27351007609735</v>
      </c>
      <c r="H373">
        <v>348</v>
      </c>
      <c r="I373">
        <v>11</v>
      </c>
      <c r="J373">
        <f t="shared" si="21"/>
        <v>18</v>
      </c>
      <c r="K373">
        <v>0.22361161040006361</v>
      </c>
      <c r="L373" t="str">
        <f t="shared" si="23"/>
        <v>Nonsmoker</v>
      </c>
      <c r="M373">
        <f>IF(L373="Nonsmoker",VLOOKUP(PolicyholdersSimulation!J373,PremiumTable!$M$4:$P$41,4,FALSE),VLOOKUP(PolicyholdersSimulation!J373,PremiumTable!$S$4:$V$41,4,FALSE))</f>
        <v>93.301230978319609</v>
      </c>
    </row>
    <row r="374" spans="1:13" x14ac:dyDescent="0.3">
      <c r="A374">
        <v>349</v>
      </c>
      <c r="B374">
        <v>47</v>
      </c>
      <c r="C374">
        <f t="shared" si="20"/>
        <v>47</v>
      </c>
      <c r="D374">
        <v>0.20470664624611823</v>
      </c>
      <c r="E374" t="str">
        <f t="shared" si="22"/>
        <v>Nonsmoker</v>
      </c>
      <c r="F374">
        <f>IF(E374="Nonsmoker",VLOOKUP(PolicyholdersSimulation!C374,PremiumTable!$A$4:$D$41,4,FALSE),VLOOKUP(PolicyholdersSimulation!C374,PremiumTable!$G$4:$J$41,4,FALSE))</f>
        <v>248.06108695368769</v>
      </c>
      <c r="H374">
        <v>349</v>
      </c>
      <c r="I374">
        <v>34</v>
      </c>
      <c r="J374">
        <f t="shared" si="21"/>
        <v>34</v>
      </c>
      <c r="K374">
        <v>0.97073628274599644</v>
      </c>
      <c r="L374" t="str">
        <f t="shared" si="23"/>
        <v>Nonsmoker</v>
      </c>
      <c r="M374">
        <f>IF(L374="Nonsmoker",VLOOKUP(PolicyholdersSimulation!J374,PremiumTable!$M$4:$P$41,4,FALSE),VLOOKUP(PolicyholdersSimulation!J374,PremiumTable!$S$4:$V$41,4,FALSE))</f>
        <v>101.73968585979277</v>
      </c>
    </row>
    <row r="375" spans="1:13" x14ac:dyDescent="0.3">
      <c r="A375">
        <v>350</v>
      </c>
      <c r="B375">
        <v>32</v>
      </c>
      <c r="C375">
        <f t="shared" si="20"/>
        <v>32</v>
      </c>
      <c r="D375">
        <v>0.39685901718827377</v>
      </c>
      <c r="E375" t="str">
        <f t="shared" si="22"/>
        <v>Nonsmoker</v>
      </c>
      <c r="F375">
        <f>IF(E375="Nonsmoker",VLOOKUP(PolicyholdersSimulation!C375,PremiumTable!$A$4:$D$41,4,FALSE),VLOOKUP(PolicyholdersSimulation!C375,PremiumTable!$G$4:$J$41,4,FALSE))</f>
        <v>104.12568156832383</v>
      </c>
      <c r="H375">
        <v>350</v>
      </c>
      <c r="I375">
        <v>37</v>
      </c>
      <c r="J375">
        <f t="shared" si="21"/>
        <v>37</v>
      </c>
      <c r="K375">
        <v>0.64119916207218963</v>
      </c>
      <c r="L375" t="str">
        <f t="shared" si="23"/>
        <v>Nonsmoker</v>
      </c>
      <c r="M375">
        <f>IF(L375="Nonsmoker",VLOOKUP(PolicyholdersSimulation!J375,PremiumTable!$M$4:$P$41,4,FALSE),VLOOKUP(PolicyholdersSimulation!J375,PremiumTable!$S$4:$V$41,4,FALSE))</f>
        <v>116.32337590156675</v>
      </c>
    </row>
    <row r="376" spans="1:13" x14ac:dyDescent="0.3">
      <c r="A376">
        <v>351</v>
      </c>
      <c r="B376">
        <v>40</v>
      </c>
      <c r="C376">
        <f t="shared" si="20"/>
        <v>40</v>
      </c>
      <c r="D376">
        <v>0.20439726241575462</v>
      </c>
      <c r="E376" t="str">
        <f t="shared" si="22"/>
        <v>Nonsmoker</v>
      </c>
      <c r="F376">
        <f>IF(E376="Nonsmoker",VLOOKUP(PolicyholdersSimulation!C376,PremiumTable!$A$4:$D$41,4,FALSE),VLOOKUP(PolicyholdersSimulation!C376,PremiumTable!$G$4:$J$41,4,FALSE))</f>
        <v>157.14195579270111</v>
      </c>
      <c r="H376">
        <v>351</v>
      </c>
      <c r="I376">
        <v>22</v>
      </c>
      <c r="J376">
        <f t="shared" si="21"/>
        <v>22</v>
      </c>
      <c r="K376">
        <v>0.59567868416734049</v>
      </c>
      <c r="L376" t="str">
        <f t="shared" si="23"/>
        <v>Nonsmoker</v>
      </c>
      <c r="M376">
        <f>IF(L376="Nonsmoker",VLOOKUP(PolicyholdersSimulation!J376,PremiumTable!$M$4:$P$41,4,FALSE),VLOOKUP(PolicyholdersSimulation!J376,PremiumTable!$S$4:$V$41,4,FALSE))</f>
        <v>81.743813936142374</v>
      </c>
    </row>
    <row r="377" spans="1:13" x14ac:dyDescent="0.3">
      <c r="A377">
        <v>352</v>
      </c>
      <c r="B377">
        <v>35</v>
      </c>
      <c r="C377">
        <f t="shared" si="20"/>
        <v>35</v>
      </c>
      <c r="D377">
        <v>0.61754014030845161</v>
      </c>
      <c r="E377" t="str">
        <f t="shared" si="22"/>
        <v>Nonsmoker</v>
      </c>
      <c r="F377">
        <f>IF(E377="Nonsmoker",VLOOKUP(PolicyholdersSimulation!C377,PremiumTable!$A$4:$D$41,4,FALSE),VLOOKUP(PolicyholdersSimulation!C377,PremiumTable!$G$4:$J$41,4,FALSE))</f>
        <v>118.66696776486694</v>
      </c>
      <c r="H377">
        <v>352</v>
      </c>
      <c r="I377">
        <v>28</v>
      </c>
      <c r="J377">
        <f t="shared" si="21"/>
        <v>28</v>
      </c>
      <c r="K377">
        <v>0.97589394200280255</v>
      </c>
      <c r="L377" t="str">
        <f t="shared" si="23"/>
        <v>Nonsmoker</v>
      </c>
      <c r="M377">
        <f>IF(L377="Nonsmoker",VLOOKUP(PolicyholdersSimulation!J377,PremiumTable!$M$4:$P$41,4,FALSE),VLOOKUP(PolicyholdersSimulation!J377,PremiumTable!$S$4:$V$41,4,FALSE))</f>
        <v>81.666348165376135</v>
      </c>
    </row>
    <row r="378" spans="1:13" x14ac:dyDescent="0.3">
      <c r="A378">
        <v>353</v>
      </c>
      <c r="B378">
        <v>38</v>
      </c>
      <c r="C378">
        <f t="shared" si="20"/>
        <v>38</v>
      </c>
      <c r="D378">
        <v>6.6333396795848598E-2</v>
      </c>
      <c r="E378" t="str">
        <f t="shared" si="22"/>
        <v>Smoker</v>
      </c>
      <c r="F378">
        <f>IF(E378="Nonsmoker",VLOOKUP(PolicyholdersSimulation!C378,PremiumTable!$A$4:$D$41,4,FALSE),VLOOKUP(PolicyholdersSimulation!C378,PremiumTable!$G$4:$J$41,4,FALSE))</f>
        <v>282.55217322083809</v>
      </c>
      <c r="H378">
        <v>353</v>
      </c>
      <c r="I378">
        <v>27</v>
      </c>
      <c r="J378">
        <f t="shared" si="21"/>
        <v>27</v>
      </c>
      <c r="K378">
        <v>4.9372539404709981E-2</v>
      </c>
      <c r="L378" t="str">
        <f t="shared" si="23"/>
        <v>Smoker</v>
      </c>
      <c r="M378">
        <f>IF(L378="Nonsmoker",VLOOKUP(PolicyholdersSimulation!J378,PremiumTable!$M$4:$P$41,4,FALSE),VLOOKUP(PolicyholdersSimulation!J378,PremiumTable!$S$4:$V$41,4,FALSE))</f>
        <v>116.67713821073481</v>
      </c>
    </row>
    <row r="379" spans="1:13" x14ac:dyDescent="0.3">
      <c r="A379">
        <v>354</v>
      </c>
      <c r="B379">
        <v>36</v>
      </c>
      <c r="C379">
        <f t="shared" si="20"/>
        <v>36</v>
      </c>
      <c r="D379">
        <v>0.4845692656288979</v>
      </c>
      <c r="E379" t="str">
        <f t="shared" si="22"/>
        <v>Nonsmoker</v>
      </c>
      <c r="F379">
        <f>IF(E379="Nonsmoker",VLOOKUP(PolicyholdersSimulation!C379,PremiumTable!$A$4:$D$41,4,FALSE),VLOOKUP(PolicyholdersSimulation!C379,PremiumTable!$G$4:$J$41,4,FALSE))</f>
        <v>124.81197180033109</v>
      </c>
      <c r="H379">
        <v>354</v>
      </c>
      <c r="I379">
        <v>34</v>
      </c>
      <c r="J379">
        <f t="shared" si="21"/>
        <v>34</v>
      </c>
      <c r="K379">
        <v>0.86847928364818927</v>
      </c>
      <c r="L379" t="str">
        <f t="shared" si="23"/>
        <v>Nonsmoker</v>
      </c>
      <c r="M379">
        <f>IF(L379="Nonsmoker",VLOOKUP(PolicyholdersSimulation!J379,PremiumTable!$M$4:$P$41,4,FALSE),VLOOKUP(PolicyholdersSimulation!J379,PremiumTable!$S$4:$V$41,4,FALSE))</f>
        <v>101.73968585979277</v>
      </c>
    </row>
    <row r="380" spans="1:13" x14ac:dyDescent="0.3">
      <c r="A380">
        <v>355</v>
      </c>
      <c r="B380">
        <v>42</v>
      </c>
      <c r="C380">
        <f t="shared" si="20"/>
        <v>42</v>
      </c>
      <c r="D380">
        <v>0.21165533099308698</v>
      </c>
      <c r="E380" t="str">
        <f t="shared" si="22"/>
        <v>Nonsmoker</v>
      </c>
      <c r="F380">
        <f>IF(E380="Nonsmoker",VLOOKUP(PolicyholdersSimulation!C380,PremiumTable!$A$4:$D$41,4,FALSE),VLOOKUP(PolicyholdersSimulation!C380,PremiumTable!$G$4:$J$41,4,FALSE))</f>
        <v>177.00343034109287</v>
      </c>
      <c r="H380">
        <v>355</v>
      </c>
      <c r="I380">
        <v>35</v>
      </c>
      <c r="J380">
        <f t="shared" si="21"/>
        <v>35</v>
      </c>
      <c r="K380">
        <v>0.79217860608152935</v>
      </c>
      <c r="L380" t="str">
        <f t="shared" si="23"/>
        <v>Nonsmoker</v>
      </c>
      <c r="M380">
        <f>IF(L380="Nonsmoker",VLOOKUP(PolicyholdersSimulation!J380,PremiumTable!$M$4:$P$41,4,FALSE),VLOOKUP(PolicyholdersSimulation!J380,PremiumTable!$S$4:$V$41,4,FALSE))</f>
        <v>106.37942043914147</v>
      </c>
    </row>
    <row r="381" spans="1:13" x14ac:dyDescent="0.3">
      <c r="A381">
        <v>356</v>
      </c>
      <c r="B381">
        <v>42</v>
      </c>
      <c r="C381">
        <f t="shared" si="20"/>
        <v>42</v>
      </c>
      <c r="D381">
        <v>0.81280595720476223</v>
      </c>
      <c r="E381" t="str">
        <f t="shared" si="22"/>
        <v>Nonsmoker</v>
      </c>
      <c r="F381">
        <f>IF(E381="Nonsmoker",VLOOKUP(PolicyholdersSimulation!C381,PremiumTable!$A$4:$D$41,4,FALSE),VLOOKUP(PolicyholdersSimulation!C381,PremiumTable!$G$4:$J$41,4,FALSE))</f>
        <v>177.00343034109287</v>
      </c>
      <c r="H381">
        <v>356</v>
      </c>
      <c r="I381">
        <v>32</v>
      </c>
      <c r="J381">
        <f t="shared" si="21"/>
        <v>32</v>
      </c>
      <c r="K381">
        <v>2.9891441484072412E-2</v>
      </c>
      <c r="L381" t="str">
        <f t="shared" si="23"/>
        <v>Smoker</v>
      </c>
      <c r="M381">
        <f>IF(L381="Nonsmoker",VLOOKUP(PolicyholdersSimulation!J381,PremiumTable!$M$4:$P$41,4,FALSE),VLOOKUP(PolicyholdersSimulation!J381,PremiumTable!$S$4:$V$41,4,FALSE))</f>
        <v>162.75723971023768</v>
      </c>
    </row>
    <row r="382" spans="1:13" x14ac:dyDescent="0.3">
      <c r="A382">
        <v>357</v>
      </c>
      <c r="B382">
        <v>43</v>
      </c>
      <c r="C382">
        <f t="shared" si="20"/>
        <v>43</v>
      </c>
      <c r="D382">
        <v>0.85129731576041867</v>
      </c>
      <c r="E382" t="str">
        <f t="shared" si="22"/>
        <v>Nonsmoker</v>
      </c>
      <c r="F382">
        <f>IF(E382="Nonsmoker",VLOOKUP(PolicyholdersSimulation!C382,PremiumTable!$A$4:$D$41,4,FALSE),VLOOKUP(PolicyholdersSimulation!C382,PremiumTable!$G$4:$J$41,4,FALSE))</f>
        <v>187.89384537033465</v>
      </c>
      <c r="H382">
        <v>357</v>
      </c>
      <c r="I382">
        <v>31</v>
      </c>
      <c r="J382">
        <f t="shared" si="21"/>
        <v>31</v>
      </c>
      <c r="K382">
        <v>0.87056508772260333</v>
      </c>
      <c r="L382" t="str">
        <f t="shared" si="23"/>
        <v>Nonsmoker</v>
      </c>
      <c r="M382">
        <f>IF(L382="Nonsmoker",VLOOKUP(PolicyholdersSimulation!J382,PremiumTable!$M$4:$P$41,4,FALSE),VLOOKUP(PolicyholdersSimulation!J382,PremiumTable!$S$4:$V$41,4,FALSE))</f>
        <v>90.615055552142564</v>
      </c>
    </row>
    <row r="383" spans="1:13" x14ac:dyDescent="0.3">
      <c r="A383">
        <v>358</v>
      </c>
      <c r="B383">
        <v>32</v>
      </c>
      <c r="C383">
        <f t="shared" si="20"/>
        <v>32</v>
      </c>
      <c r="D383">
        <v>0.56338025775236245</v>
      </c>
      <c r="E383" t="str">
        <f t="shared" si="22"/>
        <v>Nonsmoker</v>
      </c>
      <c r="F383">
        <f>IF(E383="Nonsmoker",VLOOKUP(PolicyholdersSimulation!C383,PremiumTable!$A$4:$D$41,4,FALSE),VLOOKUP(PolicyholdersSimulation!C383,PremiumTable!$G$4:$J$41,4,FALSE))</f>
        <v>104.12568156832383</v>
      </c>
      <c r="H383">
        <v>358</v>
      </c>
      <c r="I383">
        <v>31</v>
      </c>
      <c r="J383">
        <f t="shared" si="21"/>
        <v>31</v>
      </c>
      <c r="K383">
        <v>0.69064398488481782</v>
      </c>
      <c r="L383" t="str">
        <f t="shared" si="23"/>
        <v>Nonsmoker</v>
      </c>
      <c r="M383">
        <f>IF(L383="Nonsmoker",VLOOKUP(PolicyholdersSimulation!J383,PremiumTable!$M$4:$P$41,4,FALSE),VLOOKUP(PolicyholdersSimulation!J383,PremiumTable!$S$4:$V$41,4,FALSE))</f>
        <v>90.615055552142564</v>
      </c>
    </row>
    <row r="384" spans="1:13" x14ac:dyDescent="0.3">
      <c r="A384">
        <v>359</v>
      </c>
      <c r="B384">
        <v>33</v>
      </c>
      <c r="C384">
        <f t="shared" si="20"/>
        <v>33</v>
      </c>
      <c r="D384">
        <v>0.66818378014127422</v>
      </c>
      <c r="E384" t="str">
        <f t="shared" si="22"/>
        <v>Nonsmoker</v>
      </c>
      <c r="F384">
        <f>IF(E384="Nonsmoker",VLOOKUP(PolicyholdersSimulation!C384,PremiumTable!$A$4:$D$41,4,FALSE),VLOOKUP(PolicyholdersSimulation!C384,PremiumTable!$G$4:$J$41,4,FALSE))</f>
        <v>108.39931664719025</v>
      </c>
      <c r="H384">
        <v>359</v>
      </c>
      <c r="I384">
        <v>28</v>
      </c>
      <c r="J384">
        <f t="shared" si="21"/>
        <v>28</v>
      </c>
      <c r="K384">
        <v>0.44511612730423278</v>
      </c>
      <c r="L384" t="str">
        <f t="shared" si="23"/>
        <v>Nonsmoker</v>
      </c>
      <c r="M384">
        <f>IF(L384="Nonsmoker",VLOOKUP(PolicyholdersSimulation!J384,PremiumTable!$M$4:$P$41,4,FALSE),VLOOKUP(PolicyholdersSimulation!J384,PremiumTable!$S$4:$V$41,4,FALSE))</f>
        <v>81.666348165376135</v>
      </c>
    </row>
    <row r="385" spans="1:13" x14ac:dyDescent="0.3">
      <c r="A385">
        <v>360</v>
      </c>
      <c r="B385">
        <v>44</v>
      </c>
      <c r="C385">
        <f t="shared" si="20"/>
        <v>44</v>
      </c>
      <c r="D385">
        <v>0.91051456907555006</v>
      </c>
      <c r="E385" t="str">
        <f t="shared" si="22"/>
        <v>Nonsmoker</v>
      </c>
      <c r="F385">
        <f>IF(E385="Nonsmoker",VLOOKUP(PolicyholdersSimulation!C385,PremiumTable!$A$4:$D$41,4,FALSE),VLOOKUP(PolicyholdersSimulation!C385,PremiumTable!$G$4:$J$41,4,FALSE))</f>
        <v>199.52896401205433</v>
      </c>
      <c r="H385">
        <v>360</v>
      </c>
      <c r="I385">
        <v>28</v>
      </c>
      <c r="J385">
        <f t="shared" si="21"/>
        <v>28</v>
      </c>
      <c r="K385">
        <v>0.27691563788894591</v>
      </c>
      <c r="L385" t="str">
        <f t="shared" si="23"/>
        <v>Nonsmoker</v>
      </c>
      <c r="M385">
        <f>IF(L385="Nonsmoker",VLOOKUP(PolicyholdersSimulation!J385,PremiumTable!$M$4:$P$41,4,FALSE),VLOOKUP(PolicyholdersSimulation!J385,PremiumTable!$S$4:$V$41,4,FALSE))</f>
        <v>81.666348165376135</v>
      </c>
    </row>
    <row r="386" spans="1:13" x14ac:dyDescent="0.3">
      <c r="A386">
        <v>361</v>
      </c>
      <c r="B386">
        <v>34</v>
      </c>
      <c r="C386">
        <f t="shared" si="20"/>
        <v>34</v>
      </c>
      <c r="D386">
        <v>0.59209539147416701</v>
      </c>
      <c r="E386" t="str">
        <f t="shared" si="22"/>
        <v>Nonsmoker</v>
      </c>
      <c r="F386">
        <f>IF(E386="Nonsmoker",VLOOKUP(PolicyholdersSimulation!C386,PremiumTable!$A$4:$D$41,4,FALSE),VLOOKUP(PolicyholdersSimulation!C386,PremiumTable!$G$4:$J$41,4,FALSE))</f>
        <v>113.54812871502432</v>
      </c>
      <c r="H386">
        <v>361</v>
      </c>
      <c r="I386">
        <v>27</v>
      </c>
      <c r="J386">
        <f t="shared" si="21"/>
        <v>27</v>
      </c>
      <c r="K386">
        <v>0.85581118367120956</v>
      </c>
      <c r="L386" t="str">
        <f t="shared" si="23"/>
        <v>Nonsmoker</v>
      </c>
      <c r="M386">
        <f>IF(L386="Nonsmoker",VLOOKUP(PolicyholdersSimulation!J386,PremiumTable!$M$4:$P$41,4,FALSE),VLOOKUP(PolicyholdersSimulation!J386,PremiumTable!$S$4:$V$41,4,FALSE))</f>
        <v>80.233973036058572</v>
      </c>
    </row>
    <row r="387" spans="1:13" x14ac:dyDescent="0.3">
      <c r="A387">
        <v>362</v>
      </c>
      <c r="B387">
        <v>38</v>
      </c>
      <c r="C387">
        <f t="shared" si="20"/>
        <v>38</v>
      </c>
      <c r="D387">
        <v>0.84433939588430906</v>
      </c>
      <c r="E387" t="str">
        <f t="shared" si="22"/>
        <v>Nonsmoker</v>
      </c>
      <c r="F387">
        <f>IF(E387="Nonsmoker",VLOOKUP(PolicyholdersSimulation!C387,PremiumTable!$A$4:$D$41,4,FALSE),VLOOKUP(PolicyholdersSimulation!C387,PremiumTable!$G$4:$J$41,4,FALSE))</f>
        <v>138.40856497239142</v>
      </c>
      <c r="H387">
        <v>362</v>
      </c>
      <c r="I387">
        <v>27</v>
      </c>
      <c r="J387">
        <f t="shared" si="21"/>
        <v>27</v>
      </c>
      <c r="K387">
        <v>0.89911561256265327</v>
      </c>
      <c r="L387" t="str">
        <f t="shared" si="23"/>
        <v>Nonsmoker</v>
      </c>
      <c r="M387">
        <f>IF(L387="Nonsmoker",VLOOKUP(PolicyholdersSimulation!J387,PremiumTable!$M$4:$P$41,4,FALSE),VLOOKUP(PolicyholdersSimulation!J387,PremiumTable!$S$4:$V$41,4,FALSE))</f>
        <v>80.233973036058572</v>
      </c>
    </row>
    <row r="388" spans="1:13" x14ac:dyDescent="0.3">
      <c r="A388">
        <v>363</v>
      </c>
      <c r="B388">
        <v>27</v>
      </c>
      <c r="C388">
        <f t="shared" si="20"/>
        <v>27</v>
      </c>
      <c r="D388">
        <v>0.34991373259663294</v>
      </c>
      <c r="E388" t="str">
        <f t="shared" si="22"/>
        <v>Nonsmoker</v>
      </c>
      <c r="F388">
        <f>IF(E388="Nonsmoker",VLOOKUP(PolicyholdersSimulation!C388,PremiumTable!$A$4:$D$41,4,FALSE),VLOOKUP(PolicyholdersSimulation!C388,PremiumTable!$G$4:$J$41,4,FALSE))</f>
        <v>95.45464806549127</v>
      </c>
      <c r="H388">
        <v>363</v>
      </c>
      <c r="I388">
        <v>36</v>
      </c>
      <c r="J388">
        <f t="shared" si="21"/>
        <v>36</v>
      </c>
      <c r="K388">
        <v>0.74314498021017783</v>
      </c>
      <c r="L388" t="str">
        <f t="shared" si="23"/>
        <v>Nonsmoker</v>
      </c>
      <c r="M388">
        <f>IF(L388="Nonsmoker",VLOOKUP(PolicyholdersSimulation!J388,PremiumTable!$M$4:$P$41,4,FALSE),VLOOKUP(PolicyholdersSimulation!J388,PremiumTable!$S$4:$V$41,4,FALSE))</f>
        <v>111.05506919808718</v>
      </c>
    </row>
    <row r="389" spans="1:13" x14ac:dyDescent="0.3">
      <c r="A389">
        <v>364</v>
      </c>
      <c r="B389">
        <v>42</v>
      </c>
      <c r="C389">
        <f t="shared" si="20"/>
        <v>42</v>
      </c>
      <c r="D389">
        <v>0.7948979046187572</v>
      </c>
      <c r="E389" t="str">
        <f t="shared" si="22"/>
        <v>Nonsmoker</v>
      </c>
      <c r="F389">
        <f>IF(E389="Nonsmoker",VLOOKUP(PolicyholdersSimulation!C389,PremiumTable!$A$4:$D$41,4,FALSE),VLOOKUP(PolicyholdersSimulation!C389,PremiumTable!$G$4:$J$41,4,FALSE))</f>
        <v>177.00343034109287</v>
      </c>
      <c r="H389">
        <v>364</v>
      </c>
      <c r="I389">
        <v>33</v>
      </c>
      <c r="J389">
        <f t="shared" si="21"/>
        <v>33</v>
      </c>
      <c r="K389">
        <v>0.3569827223991634</v>
      </c>
      <c r="L389" t="str">
        <f t="shared" si="23"/>
        <v>Nonsmoker</v>
      </c>
      <c r="M389">
        <f>IF(L389="Nonsmoker",VLOOKUP(PolicyholdersSimulation!J389,PremiumTable!$M$4:$P$41,4,FALSE),VLOOKUP(PolicyholdersSimulation!J389,PremiumTable!$S$4:$V$41,4,FALSE))</f>
        <v>97.645038306373721</v>
      </c>
    </row>
    <row r="390" spans="1:13" x14ac:dyDescent="0.3">
      <c r="A390">
        <v>365</v>
      </c>
      <c r="B390">
        <v>37</v>
      </c>
      <c r="C390">
        <f t="shared" si="20"/>
        <v>37</v>
      </c>
      <c r="D390">
        <v>0.54373271471920459</v>
      </c>
      <c r="E390" t="str">
        <f t="shared" si="22"/>
        <v>Nonsmoker</v>
      </c>
      <c r="F390">
        <f>IF(E390="Nonsmoker",VLOOKUP(PolicyholdersSimulation!C390,PremiumTable!$A$4:$D$41,4,FALSE),VLOOKUP(PolicyholdersSimulation!C390,PremiumTable!$G$4:$J$41,4,FALSE))</f>
        <v>131.04073052327638</v>
      </c>
      <c r="H390">
        <v>365</v>
      </c>
      <c r="I390">
        <v>32</v>
      </c>
      <c r="J390">
        <f t="shared" si="21"/>
        <v>32</v>
      </c>
      <c r="K390">
        <v>0.20355048649249496</v>
      </c>
      <c r="L390" t="str">
        <f t="shared" si="23"/>
        <v>Nonsmoker</v>
      </c>
      <c r="M390">
        <f>IF(L390="Nonsmoker",VLOOKUP(PolicyholdersSimulation!J390,PremiumTable!$M$4:$P$41,4,FALSE),VLOOKUP(PolicyholdersSimulation!J390,PremiumTable!$S$4:$V$41,4,FALSE))</f>
        <v>93.792888886888633</v>
      </c>
    </row>
    <row r="391" spans="1:13" x14ac:dyDescent="0.3">
      <c r="A391">
        <v>366</v>
      </c>
      <c r="B391">
        <v>34</v>
      </c>
      <c r="C391">
        <f t="shared" si="20"/>
        <v>34</v>
      </c>
      <c r="D391">
        <v>0.8316499080078058</v>
      </c>
      <c r="E391" t="str">
        <f t="shared" si="22"/>
        <v>Nonsmoker</v>
      </c>
      <c r="F391">
        <f>IF(E391="Nonsmoker",VLOOKUP(PolicyholdersSimulation!C391,PremiumTable!$A$4:$D$41,4,FALSE),VLOOKUP(PolicyholdersSimulation!C391,PremiumTable!$G$4:$J$41,4,FALSE))</f>
        <v>113.54812871502432</v>
      </c>
      <c r="H391">
        <v>366</v>
      </c>
      <c r="I391">
        <v>35</v>
      </c>
      <c r="J391">
        <f t="shared" si="21"/>
        <v>35</v>
      </c>
      <c r="K391">
        <v>0.38853953664293639</v>
      </c>
      <c r="L391" t="str">
        <f t="shared" si="23"/>
        <v>Nonsmoker</v>
      </c>
      <c r="M391">
        <f>IF(L391="Nonsmoker",VLOOKUP(PolicyholdersSimulation!J391,PremiumTable!$M$4:$P$41,4,FALSE),VLOOKUP(PolicyholdersSimulation!J391,PremiumTable!$S$4:$V$41,4,FALSE))</f>
        <v>106.37942043914147</v>
      </c>
    </row>
    <row r="392" spans="1:13" x14ac:dyDescent="0.3">
      <c r="A392">
        <v>367</v>
      </c>
      <c r="B392">
        <v>32</v>
      </c>
      <c r="C392">
        <f t="shared" si="20"/>
        <v>32</v>
      </c>
      <c r="D392">
        <v>0.38028126088447267</v>
      </c>
      <c r="E392" t="str">
        <f t="shared" si="22"/>
        <v>Nonsmoker</v>
      </c>
      <c r="F392">
        <f>IF(E392="Nonsmoker",VLOOKUP(PolicyholdersSimulation!C392,PremiumTable!$A$4:$D$41,4,FALSE),VLOOKUP(PolicyholdersSimulation!C392,PremiumTable!$G$4:$J$41,4,FALSE))</f>
        <v>104.12568156832383</v>
      </c>
      <c r="H392">
        <v>367</v>
      </c>
      <c r="I392">
        <v>30</v>
      </c>
      <c r="J392">
        <f t="shared" si="21"/>
        <v>30</v>
      </c>
      <c r="K392">
        <v>9.2576974284917513E-2</v>
      </c>
      <c r="L392" t="str">
        <f t="shared" si="23"/>
        <v>Smoker</v>
      </c>
      <c r="M392">
        <f>IF(L392="Nonsmoker",VLOOKUP(PolicyholdersSimulation!J392,PremiumTable!$M$4:$P$41,4,FALSE),VLOOKUP(PolicyholdersSimulation!J392,PremiumTable!$S$4:$V$41,4,FALSE))</f>
        <v>141.98069535695544</v>
      </c>
    </row>
    <row r="393" spans="1:13" x14ac:dyDescent="0.3">
      <c r="A393">
        <v>368</v>
      </c>
      <c r="B393">
        <v>39</v>
      </c>
      <c r="C393">
        <f t="shared" si="20"/>
        <v>39</v>
      </c>
      <c r="D393">
        <v>0.6227177583240876</v>
      </c>
      <c r="E393" t="str">
        <f t="shared" si="22"/>
        <v>Nonsmoker</v>
      </c>
      <c r="F393">
        <f>IF(E393="Nonsmoker",VLOOKUP(PolicyholdersSimulation!C393,PremiumTable!$A$4:$D$41,4,FALSE),VLOOKUP(PolicyholdersSimulation!C393,PremiumTable!$G$4:$J$41,4,FALSE))</f>
        <v>147.47819581803472</v>
      </c>
      <c r="H393">
        <v>368</v>
      </c>
      <c r="I393">
        <v>26</v>
      </c>
      <c r="J393">
        <f t="shared" si="21"/>
        <v>26</v>
      </c>
      <c r="K393">
        <v>0.86928241804639983</v>
      </c>
      <c r="L393" t="str">
        <f t="shared" si="23"/>
        <v>Nonsmoker</v>
      </c>
      <c r="M393">
        <f>IF(L393="Nonsmoker",VLOOKUP(PolicyholdersSimulation!J393,PremiumTable!$M$4:$P$41,4,FALSE),VLOOKUP(PolicyholdersSimulation!J393,PremiumTable!$S$4:$V$41,4,FALSE))</f>
        <v>78.904303039663105</v>
      </c>
    </row>
    <row r="394" spans="1:13" x14ac:dyDescent="0.3">
      <c r="A394">
        <v>369</v>
      </c>
      <c r="B394">
        <v>42</v>
      </c>
      <c r="C394">
        <f t="shared" si="20"/>
        <v>42</v>
      </c>
      <c r="D394">
        <v>0.67093743361058977</v>
      </c>
      <c r="E394" t="str">
        <f t="shared" si="22"/>
        <v>Nonsmoker</v>
      </c>
      <c r="F394">
        <f>IF(E394="Nonsmoker",VLOOKUP(PolicyholdersSimulation!C394,PremiumTable!$A$4:$D$41,4,FALSE),VLOOKUP(PolicyholdersSimulation!C394,PremiumTable!$G$4:$J$41,4,FALSE))</f>
        <v>177.00343034109287</v>
      </c>
      <c r="H394">
        <v>369</v>
      </c>
      <c r="I394">
        <v>23</v>
      </c>
      <c r="J394">
        <f t="shared" si="21"/>
        <v>23</v>
      </c>
      <c r="K394">
        <v>0.93991788891731598</v>
      </c>
      <c r="L394" t="str">
        <f t="shared" si="23"/>
        <v>Nonsmoker</v>
      </c>
      <c r="M394">
        <f>IF(L394="Nonsmoker",VLOOKUP(PolicyholdersSimulation!J394,PremiumTable!$M$4:$P$41,4,FALSE),VLOOKUP(PolicyholdersSimulation!J394,PremiumTable!$S$4:$V$41,4,FALSE))</f>
        <v>80.885782895186097</v>
      </c>
    </row>
    <row r="395" spans="1:13" x14ac:dyDescent="0.3">
      <c r="A395">
        <v>370</v>
      </c>
      <c r="B395">
        <v>27</v>
      </c>
      <c r="C395">
        <f t="shared" si="20"/>
        <v>27</v>
      </c>
      <c r="D395">
        <v>0.75828018198833191</v>
      </c>
      <c r="E395" t="str">
        <f t="shared" si="22"/>
        <v>Nonsmoker</v>
      </c>
      <c r="F395">
        <f>IF(E395="Nonsmoker",VLOOKUP(PolicyholdersSimulation!C395,PremiumTable!$A$4:$D$41,4,FALSE),VLOOKUP(PolicyholdersSimulation!C395,PremiumTable!$G$4:$J$41,4,FALSE))</f>
        <v>95.45464806549127</v>
      </c>
      <c r="H395">
        <v>370</v>
      </c>
      <c r="I395">
        <v>23</v>
      </c>
      <c r="J395">
        <f t="shared" si="21"/>
        <v>23</v>
      </c>
      <c r="K395">
        <v>0.48035967075578012</v>
      </c>
      <c r="L395" t="str">
        <f t="shared" si="23"/>
        <v>Nonsmoker</v>
      </c>
      <c r="M395">
        <f>IF(L395="Nonsmoker",VLOOKUP(PolicyholdersSimulation!J395,PremiumTable!$M$4:$P$41,4,FALSE),VLOOKUP(PolicyholdersSimulation!J395,PremiumTable!$S$4:$V$41,4,FALSE))</f>
        <v>80.885782895186097</v>
      </c>
    </row>
    <row r="396" spans="1:13" x14ac:dyDescent="0.3">
      <c r="A396">
        <v>371</v>
      </c>
      <c r="B396">
        <v>45</v>
      </c>
      <c r="C396">
        <f t="shared" si="20"/>
        <v>45</v>
      </c>
      <c r="D396">
        <v>0.4030926968770806</v>
      </c>
      <c r="E396" t="str">
        <f t="shared" si="22"/>
        <v>Nonsmoker</v>
      </c>
      <c r="F396">
        <f>IF(E396="Nonsmoker",VLOOKUP(PolicyholdersSimulation!C396,PremiumTable!$A$4:$D$41,4,FALSE),VLOOKUP(PolicyholdersSimulation!C396,PremiumTable!$G$4:$J$41,4,FALSE))</f>
        <v>213.66497913765616</v>
      </c>
      <c r="H396">
        <v>371</v>
      </c>
      <c r="I396">
        <v>32</v>
      </c>
      <c r="J396">
        <f t="shared" si="21"/>
        <v>32</v>
      </c>
      <c r="K396">
        <v>0.61225096605266316</v>
      </c>
      <c r="L396" t="str">
        <f t="shared" si="23"/>
        <v>Nonsmoker</v>
      </c>
      <c r="M396">
        <f>IF(L396="Nonsmoker",VLOOKUP(PolicyholdersSimulation!J396,PremiumTable!$M$4:$P$41,4,FALSE),VLOOKUP(PolicyholdersSimulation!J396,PremiumTable!$S$4:$V$41,4,FALSE))</f>
        <v>93.792888886888633</v>
      </c>
    </row>
    <row r="397" spans="1:13" x14ac:dyDescent="0.3">
      <c r="A397">
        <v>372</v>
      </c>
      <c r="B397">
        <v>35</v>
      </c>
      <c r="C397">
        <f t="shared" si="20"/>
        <v>35</v>
      </c>
      <c r="D397">
        <v>0.88664139720524726</v>
      </c>
      <c r="E397" t="str">
        <f t="shared" si="22"/>
        <v>Nonsmoker</v>
      </c>
      <c r="F397">
        <f>IF(E397="Nonsmoker",VLOOKUP(PolicyholdersSimulation!C397,PremiumTable!$A$4:$D$41,4,FALSE),VLOOKUP(PolicyholdersSimulation!C397,PremiumTable!$G$4:$J$41,4,FALSE))</f>
        <v>118.66696776486694</v>
      </c>
      <c r="H397">
        <v>372</v>
      </c>
      <c r="I397">
        <v>36</v>
      </c>
      <c r="J397">
        <f t="shared" si="21"/>
        <v>36</v>
      </c>
      <c r="K397">
        <v>0.64688181801085254</v>
      </c>
      <c r="L397" t="str">
        <f t="shared" si="23"/>
        <v>Nonsmoker</v>
      </c>
      <c r="M397">
        <f>IF(L397="Nonsmoker",VLOOKUP(PolicyholdersSimulation!J397,PremiumTable!$M$4:$P$41,4,FALSE),VLOOKUP(PolicyholdersSimulation!J397,PremiumTable!$S$4:$V$41,4,FALSE))</f>
        <v>111.05506919808718</v>
      </c>
    </row>
    <row r="398" spans="1:13" x14ac:dyDescent="0.3">
      <c r="A398">
        <v>373</v>
      </c>
      <c r="B398">
        <v>23</v>
      </c>
      <c r="C398">
        <f t="shared" si="20"/>
        <v>23</v>
      </c>
      <c r="D398">
        <v>0.56230066553070013</v>
      </c>
      <c r="E398" t="str">
        <f t="shared" si="22"/>
        <v>Nonsmoker</v>
      </c>
      <c r="F398">
        <f>IF(E398="Nonsmoker",VLOOKUP(PolicyholdersSimulation!C398,PremiumTable!$A$4:$D$41,4,FALSE),VLOOKUP(PolicyholdersSimulation!C398,PremiumTable!$G$4:$J$41,4,FALSE))</f>
        <v>105.51305445777562</v>
      </c>
      <c r="H398">
        <v>373</v>
      </c>
      <c r="I398">
        <v>35</v>
      </c>
      <c r="J398">
        <f t="shared" si="21"/>
        <v>35</v>
      </c>
      <c r="K398">
        <v>0.52796709788215701</v>
      </c>
      <c r="L398" t="str">
        <f t="shared" si="23"/>
        <v>Nonsmoker</v>
      </c>
      <c r="M398">
        <f>IF(L398="Nonsmoker",VLOOKUP(PolicyholdersSimulation!J398,PremiumTable!$M$4:$P$41,4,FALSE),VLOOKUP(PolicyholdersSimulation!J398,PremiumTable!$S$4:$V$41,4,FALSE))</f>
        <v>106.37942043914147</v>
      </c>
    </row>
    <row r="399" spans="1:13" x14ac:dyDescent="0.3">
      <c r="A399">
        <v>374</v>
      </c>
      <c r="B399">
        <v>28</v>
      </c>
      <c r="C399">
        <f t="shared" si="20"/>
        <v>28</v>
      </c>
      <c r="D399">
        <v>0.72519627355938765</v>
      </c>
      <c r="E399" t="str">
        <f t="shared" si="22"/>
        <v>Nonsmoker</v>
      </c>
      <c r="F399">
        <f>IF(E399="Nonsmoker",VLOOKUP(PolicyholdersSimulation!C399,PremiumTable!$A$4:$D$41,4,FALSE),VLOOKUP(PolicyholdersSimulation!C399,PremiumTable!$G$4:$J$41,4,FALSE))</f>
        <v>97.344900542817271</v>
      </c>
      <c r="H399">
        <v>374</v>
      </c>
      <c r="I399">
        <v>30</v>
      </c>
      <c r="J399">
        <f t="shared" si="21"/>
        <v>30</v>
      </c>
      <c r="K399">
        <v>0.37809621134572813</v>
      </c>
      <c r="L399" t="str">
        <f t="shared" si="23"/>
        <v>Nonsmoker</v>
      </c>
      <c r="M399">
        <f>IF(L399="Nonsmoker",VLOOKUP(PolicyholdersSimulation!J399,PremiumTable!$M$4:$P$41,4,FALSE),VLOOKUP(PolicyholdersSimulation!J399,PremiumTable!$S$4:$V$41,4,FALSE))</f>
        <v>86.835735543592065</v>
      </c>
    </row>
    <row r="400" spans="1:13" x14ac:dyDescent="0.3">
      <c r="A400">
        <v>375</v>
      </c>
      <c r="B400">
        <v>28</v>
      </c>
      <c r="C400">
        <f t="shared" si="20"/>
        <v>28</v>
      </c>
      <c r="D400">
        <v>0.46975531474308663</v>
      </c>
      <c r="E400" t="str">
        <f t="shared" si="22"/>
        <v>Nonsmoker</v>
      </c>
      <c r="F400">
        <f>IF(E400="Nonsmoker",VLOOKUP(PolicyholdersSimulation!C400,PremiumTable!$A$4:$D$41,4,FALSE),VLOOKUP(PolicyholdersSimulation!C400,PremiumTable!$G$4:$J$41,4,FALSE))</f>
        <v>97.344900542817271</v>
      </c>
      <c r="H400">
        <v>375</v>
      </c>
      <c r="I400">
        <v>33</v>
      </c>
      <c r="J400">
        <f t="shared" si="21"/>
        <v>33</v>
      </c>
      <c r="K400">
        <v>0.29691401260207362</v>
      </c>
      <c r="L400" t="str">
        <f t="shared" si="23"/>
        <v>Nonsmoker</v>
      </c>
      <c r="M400">
        <f>IF(L400="Nonsmoker",VLOOKUP(PolicyholdersSimulation!J400,PremiumTable!$M$4:$P$41,4,FALSE),VLOOKUP(PolicyholdersSimulation!J400,PremiumTable!$S$4:$V$41,4,FALSE))</f>
        <v>97.645038306373721</v>
      </c>
    </row>
    <row r="401" spans="1:13" x14ac:dyDescent="0.3">
      <c r="A401">
        <v>376</v>
      </c>
      <c r="B401">
        <v>46</v>
      </c>
      <c r="C401">
        <f t="shared" si="20"/>
        <v>46</v>
      </c>
      <c r="D401">
        <v>0.86889805659598796</v>
      </c>
      <c r="E401" t="str">
        <f t="shared" si="22"/>
        <v>Nonsmoker</v>
      </c>
      <c r="F401">
        <f>IF(E401="Nonsmoker",VLOOKUP(PolicyholdersSimulation!C401,PremiumTable!$A$4:$D$41,4,FALSE),VLOOKUP(PolicyholdersSimulation!C401,PremiumTable!$G$4:$J$41,4,FALSE))</f>
        <v>229.57701919641352</v>
      </c>
      <c r="H401">
        <v>376</v>
      </c>
      <c r="I401">
        <v>36</v>
      </c>
      <c r="J401">
        <f t="shared" si="21"/>
        <v>36</v>
      </c>
      <c r="K401">
        <v>0.55842361761588388</v>
      </c>
      <c r="L401" t="str">
        <f t="shared" si="23"/>
        <v>Nonsmoker</v>
      </c>
      <c r="M401">
        <f>IF(L401="Nonsmoker",VLOOKUP(PolicyholdersSimulation!J401,PremiumTable!$M$4:$P$41,4,FALSE),VLOOKUP(PolicyholdersSimulation!J401,PremiumTable!$S$4:$V$41,4,FALSE))</f>
        <v>111.05506919808718</v>
      </c>
    </row>
    <row r="402" spans="1:13" x14ac:dyDescent="0.3">
      <c r="A402">
        <v>377</v>
      </c>
      <c r="B402">
        <v>27</v>
      </c>
      <c r="C402">
        <f t="shared" si="20"/>
        <v>27</v>
      </c>
      <c r="D402">
        <v>0.45661063386481737</v>
      </c>
      <c r="E402" t="str">
        <f t="shared" si="22"/>
        <v>Nonsmoker</v>
      </c>
      <c r="F402">
        <f>IF(E402="Nonsmoker",VLOOKUP(PolicyholdersSimulation!C402,PremiumTable!$A$4:$D$41,4,FALSE),VLOOKUP(PolicyholdersSimulation!C402,PremiumTable!$G$4:$J$41,4,FALSE))</f>
        <v>95.45464806549127</v>
      </c>
      <c r="H402">
        <v>377</v>
      </c>
      <c r="I402">
        <v>27</v>
      </c>
      <c r="J402">
        <f t="shared" si="21"/>
        <v>27</v>
      </c>
      <c r="K402">
        <v>0.68895134395512025</v>
      </c>
      <c r="L402" t="str">
        <f t="shared" si="23"/>
        <v>Nonsmoker</v>
      </c>
      <c r="M402">
        <f>IF(L402="Nonsmoker",VLOOKUP(PolicyholdersSimulation!J402,PremiumTable!$M$4:$P$41,4,FALSE),VLOOKUP(PolicyholdersSimulation!J402,PremiumTable!$S$4:$V$41,4,FALSE))</f>
        <v>80.233973036058572</v>
      </c>
    </row>
    <row r="403" spans="1:13" x14ac:dyDescent="0.3">
      <c r="A403">
        <v>378</v>
      </c>
      <c r="B403">
        <v>40</v>
      </c>
      <c r="C403">
        <f t="shared" si="20"/>
        <v>40</v>
      </c>
      <c r="D403">
        <v>0.22394819782316833</v>
      </c>
      <c r="E403" t="str">
        <f t="shared" si="22"/>
        <v>Nonsmoker</v>
      </c>
      <c r="F403">
        <f>IF(E403="Nonsmoker",VLOOKUP(PolicyholdersSimulation!C403,PremiumTable!$A$4:$D$41,4,FALSE),VLOOKUP(PolicyholdersSimulation!C403,PremiumTable!$G$4:$J$41,4,FALSE))</f>
        <v>157.14195579270111</v>
      </c>
      <c r="H403">
        <v>378</v>
      </c>
      <c r="I403">
        <v>33</v>
      </c>
      <c r="J403">
        <f t="shared" si="21"/>
        <v>33</v>
      </c>
      <c r="K403">
        <v>0.59902688433781426</v>
      </c>
      <c r="L403" t="str">
        <f t="shared" si="23"/>
        <v>Nonsmoker</v>
      </c>
      <c r="M403">
        <f>IF(L403="Nonsmoker",VLOOKUP(PolicyholdersSimulation!J403,PremiumTable!$M$4:$P$41,4,FALSE),VLOOKUP(PolicyholdersSimulation!J403,PremiumTable!$S$4:$V$41,4,FALSE))</f>
        <v>97.645038306373721</v>
      </c>
    </row>
    <row r="404" spans="1:13" x14ac:dyDescent="0.3">
      <c r="A404">
        <v>379</v>
      </c>
      <c r="B404">
        <v>32</v>
      </c>
      <c r="C404">
        <f t="shared" si="20"/>
        <v>32</v>
      </c>
      <c r="D404">
        <v>0.88240431857539525</v>
      </c>
      <c r="E404" t="str">
        <f t="shared" si="22"/>
        <v>Nonsmoker</v>
      </c>
      <c r="F404">
        <f>IF(E404="Nonsmoker",VLOOKUP(PolicyholdersSimulation!C404,PremiumTable!$A$4:$D$41,4,FALSE),VLOOKUP(PolicyholdersSimulation!C404,PremiumTable!$G$4:$J$41,4,FALSE))</f>
        <v>104.12568156832383</v>
      </c>
      <c r="H404">
        <v>379</v>
      </c>
      <c r="I404">
        <v>29</v>
      </c>
      <c r="J404">
        <f t="shared" si="21"/>
        <v>29</v>
      </c>
      <c r="K404">
        <v>0.35547305775421867</v>
      </c>
      <c r="L404" t="str">
        <f t="shared" si="23"/>
        <v>Nonsmoker</v>
      </c>
      <c r="M404">
        <f>IF(L404="Nonsmoker",VLOOKUP(PolicyholdersSimulation!J404,PremiumTable!$M$4:$P$41,4,FALSE),VLOOKUP(PolicyholdersSimulation!J404,PremiumTable!$S$4:$V$41,4,FALSE))</f>
        <v>84.42413832124069</v>
      </c>
    </row>
    <row r="405" spans="1:13" x14ac:dyDescent="0.3">
      <c r="A405">
        <v>380</v>
      </c>
      <c r="B405">
        <v>31</v>
      </c>
      <c r="C405">
        <f t="shared" si="20"/>
        <v>31</v>
      </c>
      <c r="D405">
        <v>5.0420327868525239E-2</v>
      </c>
      <c r="E405" t="str">
        <f t="shared" si="22"/>
        <v>Smoker</v>
      </c>
      <c r="F405">
        <f>IF(E405="Nonsmoker",VLOOKUP(PolicyholdersSimulation!C405,PremiumTable!$A$4:$D$41,4,FALSE),VLOOKUP(PolicyholdersSimulation!C405,PremiumTable!$G$4:$J$41,4,FALSE))</f>
        <v>188.94899391585412</v>
      </c>
      <c r="H405">
        <v>380</v>
      </c>
      <c r="I405">
        <v>36</v>
      </c>
      <c r="J405">
        <f t="shared" si="21"/>
        <v>36</v>
      </c>
      <c r="K405">
        <v>0.75394712257912733</v>
      </c>
      <c r="L405" t="str">
        <f t="shared" si="23"/>
        <v>Nonsmoker</v>
      </c>
      <c r="M405">
        <f>IF(L405="Nonsmoker",VLOOKUP(PolicyholdersSimulation!J405,PremiumTable!$M$4:$P$41,4,FALSE),VLOOKUP(PolicyholdersSimulation!J405,PremiumTable!$S$4:$V$41,4,FALSE))</f>
        <v>111.05506919808718</v>
      </c>
    </row>
    <row r="406" spans="1:13" x14ac:dyDescent="0.3">
      <c r="A406">
        <v>381</v>
      </c>
      <c r="B406">
        <v>42</v>
      </c>
      <c r="C406">
        <f t="shared" si="20"/>
        <v>42</v>
      </c>
      <c r="D406">
        <v>0.53230033323074732</v>
      </c>
      <c r="E406" t="str">
        <f t="shared" si="22"/>
        <v>Nonsmoker</v>
      </c>
      <c r="F406">
        <f>IF(E406="Nonsmoker",VLOOKUP(PolicyholdersSimulation!C406,PremiumTable!$A$4:$D$41,4,FALSE),VLOOKUP(PolicyholdersSimulation!C406,PremiumTable!$G$4:$J$41,4,FALSE))</f>
        <v>177.00343034109287</v>
      </c>
      <c r="H406">
        <v>381</v>
      </c>
      <c r="I406">
        <v>12</v>
      </c>
      <c r="J406">
        <f t="shared" si="21"/>
        <v>18</v>
      </c>
      <c r="K406">
        <v>0.77670140499909801</v>
      </c>
      <c r="L406" t="str">
        <f t="shared" si="23"/>
        <v>Nonsmoker</v>
      </c>
      <c r="M406">
        <f>IF(L406="Nonsmoker",VLOOKUP(PolicyholdersSimulation!J406,PremiumTable!$M$4:$P$41,4,FALSE),VLOOKUP(PolicyholdersSimulation!J406,PremiumTable!$S$4:$V$41,4,FALSE))</f>
        <v>93.301230978319609</v>
      </c>
    </row>
    <row r="407" spans="1:13" x14ac:dyDescent="0.3">
      <c r="A407">
        <v>382</v>
      </c>
      <c r="B407">
        <v>41</v>
      </c>
      <c r="C407">
        <f t="shared" si="20"/>
        <v>41</v>
      </c>
      <c r="D407">
        <v>0.57408393820355608</v>
      </c>
      <c r="E407" t="str">
        <f t="shared" si="22"/>
        <v>Nonsmoker</v>
      </c>
      <c r="F407">
        <f>IF(E407="Nonsmoker",VLOOKUP(PolicyholdersSimulation!C407,PremiumTable!$A$4:$D$41,4,FALSE),VLOOKUP(PolicyholdersSimulation!C407,PremiumTable!$G$4:$J$41,4,FALSE))</f>
        <v>167.10777343661104</v>
      </c>
      <c r="H407">
        <v>382</v>
      </c>
      <c r="I407">
        <v>23</v>
      </c>
      <c r="J407">
        <f t="shared" si="21"/>
        <v>23</v>
      </c>
      <c r="K407">
        <v>0.28829031611934397</v>
      </c>
      <c r="L407" t="str">
        <f t="shared" si="23"/>
        <v>Nonsmoker</v>
      </c>
      <c r="M407">
        <f>IF(L407="Nonsmoker",VLOOKUP(PolicyholdersSimulation!J407,PremiumTable!$M$4:$P$41,4,FALSE),VLOOKUP(PolicyholdersSimulation!J407,PremiumTable!$S$4:$V$41,4,FALSE))</f>
        <v>80.885782895186097</v>
      </c>
    </row>
    <row r="408" spans="1:13" x14ac:dyDescent="0.3">
      <c r="A408">
        <v>383</v>
      </c>
      <c r="B408">
        <v>28</v>
      </c>
      <c r="C408">
        <f t="shared" si="20"/>
        <v>28</v>
      </c>
      <c r="D408">
        <v>0.25609017114668498</v>
      </c>
      <c r="E408" t="str">
        <f t="shared" si="22"/>
        <v>Nonsmoker</v>
      </c>
      <c r="F408">
        <f>IF(E408="Nonsmoker",VLOOKUP(PolicyholdersSimulation!C408,PremiumTable!$A$4:$D$41,4,FALSE),VLOOKUP(PolicyholdersSimulation!C408,PremiumTable!$G$4:$J$41,4,FALSE))</f>
        <v>97.344900542817271</v>
      </c>
      <c r="H408">
        <v>383</v>
      </c>
      <c r="I408">
        <v>26</v>
      </c>
      <c r="J408">
        <f t="shared" si="21"/>
        <v>26</v>
      </c>
      <c r="K408">
        <v>0.56190370582122118</v>
      </c>
      <c r="L408" t="str">
        <f t="shared" si="23"/>
        <v>Nonsmoker</v>
      </c>
      <c r="M408">
        <f>IF(L408="Nonsmoker",VLOOKUP(PolicyholdersSimulation!J408,PremiumTable!$M$4:$P$41,4,FALSE),VLOOKUP(PolicyholdersSimulation!J408,PremiumTable!$S$4:$V$41,4,FALSE))</f>
        <v>78.904303039663105</v>
      </c>
    </row>
    <row r="409" spans="1:13" x14ac:dyDescent="0.3">
      <c r="A409">
        <v>384</v>
      </c>
      <c r="B409">
        <v>48</v>
      </c>
      <c r="C409">
        <f t="shared" si="20"/>
        <v>48</v>
      </c>
      <c r="D409">
        <v>0.63043643372157143</v>
      </c>
      <c r="E409" t="str">
        <f t="shared" si="22"/>
        <v>Nonsmoker</v>
      </c>
      <c r="F409">
        <f>IF(E409="Nonsmoker",VLOOKUP(PolicyholdersSimulation!C409,PremiumTable!$A$4:$D$41,4,FALSE),VLOOKUP(PolicyholdersSimulation!C409,PremiumTable!$G$4:$J$41,4,FALSE))</f>
        <v>268.70623905362021</v>
      </c>
      <c r="H409">
        <v>384</v>
      </c>
      <c r="I409">
        <v>24</v>
      </c>
      <c r="J409">
        <f t="shared" si="21"/>
        <v>24</v>
      </c>
      <c r="K409">
        <v>0.85206449601600565</v>
      </c>
      <c r="L409" t="str">
        <f t="shared" si="23"/>
        <v>Nonsmoker</v>
      </c>
      <c r="M409">
        <f>IF(L409="Nonsmoker",VLOOKUP(PolicyholdersSimulation!J409,PremiumTable!$M$4:$P$41,4,FALSE),VLOOKUP(PolicyholdersSimulation!J409,PremiumTable!$S$4:$V$41,4,FALSE))</f>
        <v>79.12344116938408</v>
      </c>
    </row>
    <row r="410" spans="1:13" x14ac:dyDescent="0.3">
      <c r="A410">
        <v>385</v>
      </c>
      <c r="B410">
        <v>41</v>
      </c>
      <c r="C410">
        <f t="shared" ref="C410:C473" si="24">IF(B410&lt;num_min,num_min,IF(B410&gt;num_max,num_max,B410))</f>
        <v>41</v>
      </c>
      <c r="D410">
        <v>0.35994697614864146</v>
      </c>
      <c r="E410" t="str">
        <f t="shared" si="22"/>
        <v>Nonsmoker</v>
      </c>
      <c r="F410">
        <f>IF(E410="Nonsmoker",VLOOKUP(PolicyholdersSimulation!C410,PremiumTable!$A$4:$D$41,4,FALSE),VLOOKUP(PolicyholdersSimulation!C410,PremiumTable!$G$4:$J$41,4,FALSE))</f>
        <v>167.10777343661104</v>
      </c>
      <c r="H410">
        <v>385</v>
      </c>
      <c r="I410">
        <v>19</v>
      </c>
      <c r="J410">
        <f t="shared" ref="J410:J473" si="25">IF(I410&lt;num_min,num_min,IF(I410&gt;num_max,num_max,I410))</f>
        <v>19</v>
      </c>
      <c r="K410">
        <v>0.62750412291009761</v>
      </c>
      <c r="L410" t="str">
        <f t="shared" si="23"/>
        <v>Nonsmoker</v>
      </c>
      <c r="M410">
        <f>IF(L410="Nonsmoker",VLOOKUP(PolicyholdersSimulation!J410,PremiumTable!$M$4:$P$41,4,FALSE),VLOOKUP(PolicyholdersSimulation!J410,PremiumTable!$S$4:$V$41,4,FALSE))</f>
        <v>90.499790981431659</v>
      </c>
    </row>
    <row r="411" spans="1:13" x14ac:dyDescent="0.3">
      <c r="A411">
        <v>386</v>
      </c>
      <c r="B411">
        <v>48</v>
      </c>
      <c r="C411">
        <f t="shared" si="24"/>
        <v>48</v>
      </c>
      <c r="D411">
        <v>0.42037655292695009</v>
      </c>
      <c r="E411" t="str">
        <f t="shared" ref="E411:E474" si="26">IF(D411&lt;=0.2,"Smoker","Nonsmoker")</f>
        <v>Nonsmoker</v>
      </c>
      <c r="F411">
        <f>IF(E411="Nonsmoker",VLOOKUP(PolicyholdersSimulation!C411,PremiumTable!$A$4:$D$41,4,FALSE),VLOOKUP(PolicyholdersSimulation!C411,PremiumTable!$G$4:$J$41,4,FALSE))</f>
        <v>268.70623905362021</v>
      </c>
      <c r="H411">
        <v>386</v>
      </c>
      <c r="I411">
        <v>29</v>
      </c>
      <c r="J411">
        <f t="shared" si="25"/>
        <v>29</v>
      </c>
      <c r="K411">
        <v>0.46451677228435817</v>
      </c>
      <c r="L411" t="str">
        <f t="shared" ref="L411:L474" si="27">IF(K411&lt;=0.2,"Smoker","Nonsmoker")</f>
        <v>Nonsmoker</v>
      </c>
      <c r="M411">
        <f>IF(L411="Nonsmoker",VLOOKUP(PolicyholdersSimulation!J411,PremiumTable!$M$4:$P$41,4,FALSE),VLOOKUP(PolicyholdersSimulation!J411,PremiumTable!$S$4:$V$41,4,FALSE))</f>
        <v>84.42413832124069</v>
      </c>
    </row>
    <row r="412" spans="1:13" x14ac:dyDescent="0.3">
      <c r="A412">
        <v>387</v>
      </c>
      <c r="B412">
        <v>30</v>
      </c>
      <c r="C412">
        <f t="shared" si="24"/>
        <v>30</v>
      </c>
      <c r="D412">
        <v>0.80048675908137823</v>
      </c>
      <c r="E412" t="str">
        <f t="shared" si="26"/>
        <v>Nonsmoker</v>
      </c>
      <c r="F412">
        <f>IF(E412="Nonsmoker",VLOOKUP(PolicyholdersSimulation!C412,PremiumTable!$A$4:$D$41,4,FALSE),VLOOKUP(PolicyholdersSimulation!C412,PremiumTable!$G$4:$J$41,4,FALSE))</f>
        <v>98.268933119823288</v>
      </c>
      <c r="H412">
        <v>387</v>
      </c>
      <c r="I412">
        <v>27</v>
      </c>
      <c r="J412">
        <f t="shared" si="25"/>
        <v>27</v>
      </c>
      <c r="K412">
        <v>4.487896043362527E-3</v>
      </c>
      <c r="L412" t="str">
        <f t="shared" si="27"/>
        <v>Smoker</v>
      </c>
      <c r="M412">
        <f>IF(L412="Nonsmoker",VLOOKUP(PolicyholdersSimulation!J412,PremiumTable!$M$4:$P$41,4,FALSE),VLOOKUP(PolicyholdersSimulation!J412,PremiumTable!$S$4:$V$41,4,FALSE))</f>
        <v>116.67713821073481</v>
      </c>
    </row>
    <row r="413" spans="1:13" x14ac:dyDescent="0.3">
      <c r="A413">
        <v>388</v>
      </c>
      <c r="B413">
        <v>36</v>
      </c>
      <c r="C413">
        <f t="shared" si="24"/>
        <v>36</v>
      </c>
      <c r="D413">
        <v>0.757914954611287</v>
      </c>
      <c r="E413" t="str">
        <f t="shared" si="26"/>
        <v>Nonsmoker</v>
      </c>
      <c r="F413">
        <f>IF(E413="Nonsmoker",VLOOKUP(PolicyholdersSimulation!C413,PremiumTable!$A$4:$D$41,4,FALSE),VLOOKUP(PolicyholdersSimulation!C413,PremiumTable!$G$4:$J$41,4,FALSE))</f>
        <v>124.81197180033109</v>
      </c>
      <c r="H413">
        <v>388</v>
      </c>
      <c r="I413">
        <v>32</v>
      </c>
      <c r="J413">
        <f t="shared" si="25"/>
        <v>32</v>
      </c>
      <c r="K413">
        <v>0.87232963907652394</v>
      </c>
      <c r="L413" t="str">
        <f t="shared" si="27"/>
        <v>Nonsmoker</v>
      </c>
      <c r="M413">
        <f>IF(L413="Nonsmoker",VLOOKUP(PolicyholdersSimulation!J413,PremiumTable!$M$4:$P$41,4,FALSE),VLOOKUP(PolicyholdersSimulation!J413,PremiumTable!$S$4:$V$41,4,FALSE))</f>
        <v>93.792888886888633</v>
      </c>
    </row>
    <row r="414" spans="1:13" x14ac:dyDescent="0.3">
      <c r="A414">
        <v>389</v>
      </c>
      <c r="B414">
        <v>25</v>
      </c>
      <c r="C414">
        <f t="shared" si="24"/>
        <v>25</v>
      </c>
      <c r="D414">
        <v>0.70029875951446807</v>
      </c>
      <c r="E414" t="str">
        <f t="shared" si="26"/>
        <v>Nonsmoker</v>
      </c>
      <c r="F414">
        <f>IF(E414="Nonsmoker",VLOOKUP(PolicyholdersSimulation!C414,PremiumTable!$A$4:$D$41,4,FALSE),VLOOKUP(PolicyholdersSimulation!C414,PremiumTable!$G$4:$J$41,4,FALSE))</f>
        <v>96.273482117369966</v>
      </c>
      <c r="H414">
        <v>389</v>
      </c>
      <c r="I414">
        <v>35</v>
      </c>
      <c r="J414">
        <f t="shared" si="25"/>
        <v>35</v>
      </c>
      <c r="K414">
        <v>0.41042683349472309</v>
      </c>
      <c r="L414" t="str">
        <f t="shared" si="27"/>
        <v>Nonsmoker</v>
      </c>
      <c r="M414">
        <f>IF(L414="Nonsmoker",VLOOKUP(PolicyholdersSimulation!J414,PremiumTable!$M$4:$P$41,4,FALSE),VLOOKUP(PolicyholdersSimulation!J414,PremiumTable!$S$4:$V$41,4,FALSE))</f>
        <v>106.37942043914147</v>
      </c>
    </row>
    <row r="415" spans="1:13" x14ac:dyDescent="0.3">
      <c r="A415">
        <v>390</v>
      </c>
      <c r="B415">
        <v>34</v>
      </c>
      <c r="C415">
        <f t="shared" si="24"/>
        <v>34</v>
      </c>
      <c r="D415">
        <v>0.126642369800399</v>
      </c>
      <c r="E415" t="str">
        <f t="shared" si="26"/>
        <v>Smoker</v>
      </c>
      <c r="F415">
        <f>IF(E415="Nonsmoker",VLOOKUP(PolicyholdersSimulation!C415,PremiumTable!$A$4:$D$41,4,FALSE),VLOOKUP(PolicyholdersSimulation!C415,PremiumTable!$G$4:$J$41,4,FALSE))</f>
        <v>225.27351007609735</v>
      </c>
      <c r="H415">
        <v>390</v>
      </c>
      <c r="I415">
        <v>37</v>
      </c>
      <c r="J415">
        <f t="shared" si="25"/>
        <v>37</v>
      </c>
      <c r="K415">
        <v>0.19815598377085364</v>
      </c>
      <c r="L415" t="str">
        <f t="shared" si="27"/>
        <v>Smoker</v>
      </c>
      <c r="M415">
        <f>IF(L415="Nonsmoker",VLOOKUP(PolicyholdersSimulation!J415,PremiumTable!$M$4:$P$41,4,FALSE),VLOOKUP(PolicyholdersSimulation!J415,PremiumTable!$S$4:$V$41,4,FALSE))</f>
        <v>224.45543343669488</v>
      </c>
    </row>
    <row r="416" spans="1:13" x14ac:dyDescent="0.3">
      <c r="A416">
        <v>391</v>
      </c>
      <c r="B416">
        <v>36</v>
      </c>
      <c r="C416">
        <f t="shared" si="24"/>
        <v>36</v>
      </c>
      <c r="D416">
        <v>0.63613532870507961</v>
      </c>
      <c r="E416" t="str">
        <f t="shared" si="26"/>
        <v>Nonsmoker</v>
      </c>
      <c r="F416">
        <f>IF(E416="Nonsmoker",VLOOKUP(PolicyholdersSimulation!C416,PremiumTable!$A$4:$D$41,4,FALSE),VLOOKUP(PolicyholdersSimulation!C416,PremiumTable!$G$4:$J$41,4,FALSE))</f>
        <v>124.81197180033109</v>
      </c>
      <c r="H416">
        <v>391</v>
      </c>
      <c r="I416">
        <v>31</v>
      </c>
      <c r="J416">
        <f t="shared" si="25"/>
        <v>31</v>
      </c>
      <c r="K416">
        <v>0.44545213926116434</v>
      </c>
      <c r="L416" t="str">
        <f t="shared" si="27"/>
        <v>Nonsmoker</v>
      </c>
      <c r="M416">
        <f>IF(L416="Nonsmoker",VLOOKUP(PolicyholdersSimulation!J416,PremiumTable!$M$4:$P$41,4,FALSE),VLOOKUP(PolicyholdersSimulation!J416,PremiumTable!$S$4:$V$41,4,FALSE))</f>
        <v>90.615055552142564</v>
      </c>
    </row>
    <row r="417" spans="1:13" x14ac:dyDescent="0.3">
      <c r="A417">
        <v>392</v>
      </c>
      <c r="B417">
        <v>40</v>
      </c>
      <c r="C417">
        <f t="shared" si="24"/>
        <v>40</v>
      </c>
      <c r="D417">
        <v>0.50735435245170057</v>
      </c>
      <c r="E417" t="str">
        <f t="shared" si="26"/>
        <v>Nonsmoker</v>
      </c>
      <c r="F417">
        <f>IF(E417="Nonsmoker",VLOOKUP(PolicyholdersSimulation!C417,PremiumTable!$A$4:$D$41,4,FALSE),VLOOKUP(PolicyholdersSimulation!C417,PremiumTable!$G$4:$J$41,4,FALSE))</f>
        <v>157.14195579270111</v>
      </c>
      <c r="H417">
        <v>392</v>
      </c>
      <c r="I417">
        <v>29</v>
      </c>
      <c r="J417">
        <f t="shared" si="25"/>
        <v>29</v>
      </c>
      <c r="K417">
        <v>0.41432597121366432</v>
      </c>
      <c r="L417" t="str">
        <f t="shared" si="27"/>
        <v>Nonsmoker</v>
      </c>
      <c r="M417">
        <f>IF(L417="Nonsmoker",VLOOKUP(PolicyholdersSimulation!J417,PremiumTable!$M$4:$P$41,4,FALSE),VLOOKUP(PolicyholdersSimulation!J417,PremiumTable!$S$4:$V$41,4,FALSE))</f>
        <v>84.42413832124069</v>
      </c>
    </row>
    <row r="418" spans="1:13" x14ac:dyDescent="0.3">
      <c r="A418">
        <v>393</v>
      </c>
      <c r="B418">
        <v>27</v>
      </c>
      <c r="C418">
        <f t="shared" si="24"/>
        <v>27</v>
      </c>
      <c r="D418">
        <v>0.88096579506982642</v>
      </c>
      <c r="E418" t="str">
        <f t="shared" si="26"/>
        <v>Nonsmoker</v>
      </c>
      <c r="F418">
        <f>IF(E418="Nonsmoker",VLOOKUP(PolicyholdersSimulation!C418,PremiumTable!$A$4:$D$41,4,FALSE),VLOOKUP(PolicyholdersSimulation!C418,PremiumTable!$G$4:$J$41,4,FALSE))</f>
        <v>95.45464806549127</v>
      </c>
      <c r="H418">
        <v>393</v>
      </c>
      <c r="I418">
        <v>33</v>
      </c>
      <c r="J418">
        <f t="shared" si="25"/>
        <v>33</v>
      </c>
      <c r="K418">
        <v>0.21462239654863724</v>
      </c>
      <c r="L418" t="str">
        <f t="shared" si="27"/>
        <v>Nonsmoker</v>
      </c>
      <c r="M418">
        <f>IF(L418="Nonsmoker",VLOOKUP(PolicyholdersSimulation!J418,PremiumTable!$M$4:$P$41,4,FALSE),VLOOKUP(PolicyholdersSimulation!J418,PremiumTable!$S$4:$V$41,4,FALSE))</f>
        <v>97.645038306373721</v>
      </c>
    </row>
    <row r="419" spans="1:13" x14ac:dyDescent="0.3">
      <c r="A419">
        <v>394</v>
      </c>
      <c r="B419">
        <v>40</v>
      </c>
      <c r="C419">
        <f t="shared" si="24"/>
        <v>40</v>
      </c>
      <c r="D419">
        <v>0.74988720648342899</v>
      </c>
      <c r="E419" t="str">
        <f t="shared" si="26"/>
        <v>Nonsmoker</v>
      </c>
      <c r="F419">
        <f>IF(E419="Nonsmoker",VLOOKUP(PolicyholdersSimulation!C419,PremiumTable!$A$4:$D$41,4,FALSE),VLOOKUP(PolicyholdersSimulation!C419,PremiumTable!$G$4:$J$41,4,FALSE))</f>
        <v>157.14195579270111</v>
      </c>
      <c r="H419">
        <v>394</v>
      </c>
      <c r="I419">
        <v>27</v>
      </c>
      <c r="J419">
        <f t="shared" si="25"/>
        <v>27</v>
      </c>
      <c r="K419">
        <v>0.51957858833412285</v>
      </c>
      <c r="L419" t="str">
        <f t="shared" si="27"/>
        <v>Nonsmoker</v>
      </c>
      <c r="M419">
        <f>IF(L419="Nonsmoker",VLOOKUP(PolicyholdersSimulation!J419,PremiumTable!$M$4:$P$41,4,FALSE),VLOOKUP(PolicyholdersSimulation!J419,PremiumTable!$S$4:$V$41,4,FALSE))</f>
        <v>80.233973036058572</v>
      </c>
    </row>
    <row r="420" spans="1:13" x14ac:dyDescent="0.3">
      <c r="A420">
        <v>395</v>
      </c>
      <c r="B420">
        <v>35</v>
      </c>
      <c r="C420">
        <f t="shared" si="24"/>
        <v>35</v>
      </c>
      <c r="D420">
        <v>0.85838016964241004</v>
      </c>
      <c r="E420" t="str">
        <f t="shared" si="26"/>
        <v>Nonsmoker</v>
      </c>
      <c r="F420">
        <f>IF(E420="Nonsmoker",VLOOKUP(PolicyholdersSimulation!C420,PremiumTable!$A$4:$D$41,4,FALSE),VLOOKUP(PolicyholdersSimulation!C420,PremiumTable!$G$4:$J$41,4,FALSE))</f>
        <v>118.66696776486694</v>
      </c>
      <c r="H420">
        <v>395</v>
      </c>
      <c r="I420">
        <v>37</v>
      </c>
      <c r="J420">
        <f t="shared" si="25"/>
        <v>37</v>
      </c>
      <c r="K420">
        <v>0.26852051962516232</v>
      </c>
      <c r="L420" t="str">
        <f t="shared" si="27"/>
        <v>Nonsmoker</v>
      </c>
      <c r="M420">
        <f>IF(L420="Nonsmoker",VLOOKUP(PolicyholdersSimulation!J420,PremiumTable!$M$4:$P$41,4,FALSE),VLOOKUP(PolicyholdersSimulation!J420,PremiumTable!$S$4:$V$41,4,FALSE))</f>
        <v>116.32337590156675</v>
      </c>
    </row>
    <row r="421" spans="1:13" x14ac:dyDescent="0.3">
      <c r="A421">
        <v>396</v>
      </c>
      <c r="B421">
        <v>32</v>
      </c>
      <c r="C421">
        <f t="shared" si="24"/>
        <v>32</v>
      </c>
      <c r="D421">
        <v>0.4109559220041652</v>
      </c>
      <c r="E421" t="str">
        <f t="shared" si="26"/>
        <v>Nonsmoker</v>
      </c>
      <c r="F421">
        <f>IF(E421="Nonsmoker",VLOOKUP(PolicyholdersSimulation!C421,PremiumTable!$A$4:$D$41,4,FALSE),VLOOKUP(PolicyholdersSimulation!C421,PremiumTable!$G$4:$J$41,4,FALSE))</f>
        <v>104.12568156832383</v>
      </c>
      <c r="H421">
        <v>396</v>
      </c>
      <c r="I421">
        <v>22</v>
      </c>
      <c r="J421">
        <f t="shared" si="25"/>
        <v>22</v>
      </c>
      <c r="K421">
        <v>0.7615078641002605</v>
      </c>
      <c r="L421" t="str">
        <f t="shared" si="27"/>
        <v>Nonsmoker</v>
      </c>
      <c r="M421">
        <f>IF(L421="Nonsmoker",VLOOKUP(PolicyholdersSimulation!J421,PremiumTable!$M$4:$P$41,4,FALSE),VLOOKUP(PolicyholdersSimulation!J421,PremiumTable!$S$4:$V$41,4,FALSE))</f>
        <v>81.743813936142374</v>
      </c>
    </row>
    <row r="422" spans="1:13" x14ac:dyDescent="0.3">
      <c r="A422">
        <v>397</v>
      </c>
      <c r="B422">
        <v>36</v>
      </c>
      <c r="C422">
        <f t="shared" si="24"/>
        <v>36</v>
      </c>
      <c r="D422">
        <v>0.35492521601801064</v>
      </c>
      <c r="E422" t="str">
        <f t="shared" si="26"/>
        <v>Nonsmoker</v>
      </c>
      <c r="F422">
        <f>IF(E422="Nonsmoker",VLOOKUP(PolicyholdersSimulation!C422,PremiumTable!$A$4:$D$41,4,FALSE),VLOOKUP(PolicyholdersSimulation!C422,PremiumTable!$G$4:$J$41,4,FALSE))</f>
        <v>124.81197180033109</v>
      </c>
      <c r="H422">
        <v>397</v>
      </c>
      <c r="I422">
        <v>28</v>
      </c>
      <c r="J422">
        <f t="shared" si="25"/>
        <v>28</v>
      </c>
      <c r="K422">
        <v>0.28499659364766361</v>
      </c>
      <c r="L422" t="str">
        <f t="shared" si="27"/>
        <v>Nonsmoker</v>
      </c>
      <c r="M422">
        <f>IF(L422="Nonsmoker",VLOOKUP(PolicyholdersSimulation!J422,PremiumTable!$M$4:$P$41,4,FALSE),VLOOKUP(PolicyholdersSimulation!J422,PremiumTable!$S$4:$V$41,4,FALSE))</f>
        <v>81.666348165376135</v>
      </c>
    </row>
    <row r="423" spans="1:13" x14ac:dyDescent="0.3">
      <c r="A423">
        <v>398</v>
      </c>
      <c r="B423">
        <v>45</v>
      </c>
      <c r="C423">
        <f t="shared" si="24"/>
        <v>45</v>
      </c>
      <c r="D423">
        <v>0.25059957474876593</v>
      </c>
      <c r="E423" t="str">
        <f t="shared" si="26"/>
        <v>Nonsmoker</v>
      </c>
      <c r="F423">
        <f>IF(E423="Nonsmoker",VLOOKUP(PolicyholdersSimulation!C423,PremiumTable!$A$4:$D$41,4,FALSE),VLOOKUP(PolicyholdersSimulation!C423,PremiumTable!$G$4:$J$41,4,FALSE))</f>
        <v>213.66497913765616</v>
      </c>
      <c r="H423">
        <v>398</v>
      </c>
      <c r="I423">
        <v>27</v>
      </c>
      <c r="J423">
        <f t="shared" si="25"/>
        <v>27</v>
      </c>
      <c r="K423">
        <v>5.472538663972748E-2</v>
      </c>
      <c r="L423" t="str">
        <f t="shared" si="27"/>
        <v>Smoker</v>
      </c>
      <c r="M423">
        <f>IF(L423="Nonsmoker",VLOOKUP(PolicyholdersSimulation!J423,PremiumTable!$M$4:$P$41,4,FALSE),VLOOKUP(PolicyholdersSimulation!J423,PremiumTable!$S$4:$V$41,4,FALSE))</f>
        <v>116.67713821073481</v>
      </c>
    </row>
    <row r="424" spans="1:13" x14ac:dyDescent="0.3">
      <c r="A424">
        <v>399</v>
      </c>
      <c r="B424">
        <v>48</v>
      </c>
      <c r="C424">
        <f t="shared" si="24"/>
        <v>48</v>
      </c>
      <c r="D424">
        <v>0.3537543293509865</v>
      </c>
      <c r="E424" t="str">
        <f t="shared" si="26"/>
        <v>Nonsmoker</v>
      </c>
      <c r="F424">
        <f>IF(E424="Nonsmoker",VLOOKUP(PolicyholdersSimulation!C424,PremiumTable!$A$4:$D$41,4,FALSE),VLOOKUP(PolicyholdersSimulation!C424,PremiumTable!$G$4:$J$41,4,FALSE))</f>
        <v>268.70623905362021</v>
      </c>
      <c r="H424">
        <v>399</v>
      </c>
      <c r="I424">
        <v>32</v>
      </c>
      <c r="J424">
        <f t="shared" si="25"/>
        <v>32</v>
      </c>
      <c r="K424">
        <v>0.2721171919104286</v>
      </c>
      <c r="L424" t="str">
        <f t="shared" si="27"/>
        <v>Nonsmoker</v>
      </c>
      <c r="M424">
        <f>IF(L424="Nonsmoker",VLOOKUP(PolicyholdersSimulation!J424,PremiumTable!$M$4:$P$41,4,FALSE),VLOOKUP(PolicyholdersSimulation!J424,PremiumTable!$S$4:$V$41,4,FALSE))</f>
        <v>93.792888886888633</v>
      </c>
    </row>
    <row r="425" spans="1:13" x14ac:dyDescent="0.3">
      <c r="A425">
        <v>400</v>
      </c>
      <c r="B425">
        <v>48</v>
      </c>
      <c r="C425">
        <f t="shared" si="24"/>
        <v>48</v>
      </c>
      <c r="D425">
        <v>0.58125317555472922</v>
      </c>
      <c r="E425" t="str">
        <f t="shared" si="26"/>
        <v>Nonsmoker</v>
      </c>
      <c r="F425">
        <f>IF(E425="Nonsmoker",VLOOKUP(PolicyholdersSimulation!C425,PremiumTable!$A$4:$D$41,4,FALSE),VLOOKUP(PolicyholdersSimulation!C425,PremiumTable!$G$4:$J$41,4,FALSE))</f>
        <v>268.70623905362021</v>
      </c>
      <c r="H425">
        <v>400</v>
      </c>
      <c r="I425">
        <v>28</v>
      </c>
      <c r="J425">
        <f t="shared" si="25"/>
        <v>28</v>
      </c>
      <c r="K425">
        <v>0.81021139175139079</v>
      </c>
      <c r="L425" t="str">
        <f t="shared" si="27"/>
        <v>Nonsmoker</v>
      </c>
      <c r="M425">
        <f>IF(L425="Nonsmoker",VLOOKUP(PolicyholdersSimulation!J425,PremiumTable!$M$4:$P$41,4,FALSE),VLOOKUP(PolicyholdersSimulation!J425,PremiumTable!$S$4:$V$41,4,FALSE))</f>
        <v>81.666348165376135</v>
      </c>
    </row>
    <row r="426" spans="1:13" x14ac:dyDescent="0.3">
      <c r="A426">
        <v>401</v>
      </c>
      <c r="B426">
        <v>35</v>
      </c>
      <c r="C426">
        <f t="shared" si="24"/>
        <v>35</v>
      </c>
      <c r="D426">
        <v>0.22058959489466068</v>
      </c>
      <c r="E426" t="str">
        <f t="shared" si="26"/>
        <v>Nonsmoker</v>
      </c>
      <c r="F426">
        <f>IF(E426="Nonsmoker",VLOOKUP(PolicyholdersSimulation!C426,PremiumTable!$A$4:$D$41,4,FALSE),VLOOKUP(PolicyholdersSimulation!C426,PremiumTable!$G$4:$J$41,4,FALSE))</f>
        <v>118.66696776486694</v>
      </c>
      <c r="H426">
        <v>401</v>
      </c>
      <c r="I426">
        <v>26</v>
      </c>
      <c r="J426">
        <f t="shared" si="25"/>
        <v>26</v>
      </c>
      <c r="K426">
        <v>0.41138427422073787</v>
      </c>
      <c r="L426" t="str">
        <f t="shared" si="27"/>
        <v>Nonsmoker</v>
      </c>
      <c r="M426">
        <f>IF(L426="Nonsmoker",VLOOKUP(PolicyholdersSimulation!J426,PremiumTable!$M$4:$P$41,4,FALSE),VLOOKUP(PolicyholdersSimulation!J426,PremiumTable!$S$4:$V$41,4,FALSE))</f>
        <v>78.904303039663105</v>
      </c>
    </row>
    <row r="427" spans="1:13" x14ac:dyDescent="0.3">
      <c r="A427">
        <v>402</v>
      </c>
      <c r="B427">
        <v>29</v>
      </c>
      <c r="C427">
        <f t="shared" si="24"/>
        <v>29</v>
      </c>
      <c r="D427">
        <v>0.62942453771014084</v>
      </c>
      <c r="E427" t="str">
        <f t="shared" si="26"/>
        <v>Nonsmoker</v>
      </c>
      <c r="F427">
        <f>IF(E427="Nonsmoker",VLOOKUP(PolicyholdersSimulation!C427,PremiumTable!$A$4:$D$41,4,FALSE),VLOOKUP(PolicyholdersSimulation!C427,PremiumTable!$G$4:$J$41,4,FALSE))</f>
        <v>97.884728277152888</v>
      </c>
      <c r="H427">
        <v>402</v>
      </c>
      <c r="I427">
        <v>39</v>
      </c>
      <c r="J427">
        <f t="shared" si="25"/>
        <v>39</v>
      </c>
      <c r="K427">
        <v>6.9500348474366036E-2</v>
      </c>
      <c r="L427" t="str">
        <f t="shared" si="27"/>
        <v>Smoker</v>
      </c>
      <c r="M427">
        <f>IF(L427="Nonsmoker",VLOOKUP(PolicyholdersSimulation!J427,PremiumTable!$M$4:$P$41,4,FALSE),VLOOKUP(PolicyholdersSimulation!J427,PremiumTable!$S$4:$V$41,4,FALSE))</f>
        <v>260.19624541315187</v>
      </c>
    </row>
    <row r="428" spans="1:13" x14ac:dyDescent="0.3">
      <c r="A428">
        <v>403</v>
      </c>
      <c r="B428">
        <v>33</v>
      </c>
      <c r="C428">
        <f t="shared" si="24"/>
        <v>33</v>
      </c>
      <c r="D428">
        <v>0.85685732063006326</v>
      </c>
      <c r="E428" t="str">
        <f t="shared" si="26"/>
        <v>Nonsmoker</v>
      </c>
      <c r="F428">
        <f>IF(E428="Nonsmoker",VLOOKUP(PolicyholdersSimulation!C428,PremiumTable!$A$4:$D$41,4,FALSE),VLOOKUP(PolicyholdersSimulation!C428,PremiumTable!$G$4:$J$41,4,FALSE))</f>
        <v>108.39931664719025</v>
      </c>
      <c r="H428">
        <v>403</v>
      </c>
      <c r="I428">
        <v>30</v>
      </c>
      <c r="J428">
        <f t="shared" si="25"/>
        <v>30</v>
      </c>
      <c r="K428">
        <v>0.34870072917752781</v>
      </c>
      <c r="L428" t="str">
        <f t="shared" si="27"/>
        <v>Nonsmoker</v>
      </c>
      <c r="M428">
        <f>IF(L428="Nonsmoker",VLOOKUP(PolicyholdersSimulation!J428,PremiumTable!$M$4:$P$41,4,FALSE),VLOOKUP(PolicyholdersSimulation!J428,PremiumTable!$S$4:$V$41,4,FALSE))</f>
        <v>86.835735543592065</v>
      </c>
    </row>
    <row r="429" spans="1:13" x14ac:dyDescent="0.3">
      <c r="A429">
        <v>404</v>
      </c>
      <c r="B429">
        <v>38</v>
      </c>
      <c r="C429">
        <f t="shared" si="24"/>
        <v>38</v>
      </c>
      <c r="D429">
        <v>0.10069518026088997</v>
      </c>
      <c r="E429" t="str">
        <f t="shared" si="26"/>
        <v>Smoker</v>
      </c>
      <c r="F429">
        <f>IF(E429="Nonsmoker",VLOOKUP(PolicyholdersSimulation!C429,PremiumTable!$A$4:$D$41,4,FALSE),VLOOKUP(PolicyholdersSimulation!C429,PremiumTable!$G$4:$J$41,4,FALSE))</f>
        <v>282.55217322083809</v>
      </c>
      <c r="H429">
        <v>404</v>
      </c>
      <c r="I429">
        <v>30</v>
      </c>
      <c r="J429">
        <f t="shared" si="25"/>
        <v>30</v>
      </c>
      <c r="K429">
        <v>0.60281387253903307</v>
      </c>
      <c r="L429" t="str">
        <f t="shared" si="27"/>
        <v>Nonsmoker</v>
      </c>
      <c r="M429">
        <f>IF(L429="Nonsmoker",VLOOKUP(PolicyholdersSimulation!J429,PremiumTable!$M$4:$P$41,4,FALSE),VLOOKUP(PolicyholdersSimulation!J429,PremiumTable!$S$4:$V$41,4,FALSE))</f>
        <v>86.835735543592065</v>
      </c>
    </row>
    <row r="430" spans="1:13" x14ac:dyDescent="0.3">
      <c r="A430">
        <v>405</v>
      </c>
      <c r="B430">
        <v>32</v>
      </c>
      <c r="C430">
        <f t="shared" si="24"/>
        <v>32</v>
      </c>
      <c r="D430">
        <v>0.85492223432084224</v>
      </c>
      <c r="E430" t="str">
        <f t="shared" si="26"/>
        <v>Nonsmoker</v>
      </c>
      <c r="F430">
        <f>IF(E430="Nonsmoker",VLOOKUP(PolicyholdersSimulation!C430,PremiumTable!$A$4:$D$41,4,FALSE),VLOOKUP(PolicyholdersSimulation!C430,PremiumTable!$G$4:$J$41,4,FALSE))</f>
        <v>104.12568156832383</v>
      </c>
      <c r="H430">
        <v>405</v>
      </c>
      <c r="I430">
        <v>29</v>
      </c>
      <c r="J430">
        <f t="shared" si="25"/>
        <v>29</v>
      </c>
      <c r="K430">
        <v>1.5796005890993947E-2</v>
      </c>
      <c r="L430" t="str">
        <f t="shared" si="27"/>
        <v>Smoker</v>
      </c>
      <c r="M430">
        <f>IF(L430="Nonsmoker",VLOOKUP(PolicyholdersSimulation!J430,PremiumTable!$M$4:$P$41,4,FALSE),VLOOKUP(PolicyholdersSimulation!J430,PremiumTable!$S$4:$V$41,4,FALSE))</f>
        <v>132.59541289904985</v>
      </c>
    </row>
    <row r="431" spans="1:13" x14ac:dyDescent="0.3">
      <c r="A431">
        <v>406</v>
      </c>
      <c r="B431">
        <v>36</v>
      </c>
      <c r="C431">
        <f t="shared" si="24"/>
        <v>36</v>
      </c>
      <c r="D431">
        <v>0.43799347446021342</v>
      </c>
      <c r="E431" t="str">
        <f t="shared" si="26"/>
        <v>Nonsmoker</v>
      </c>
      <c r="F431">
        <f>IF(E431="Nonsmoker",VLOOKUP(PolicyholdersSimulation!C431,PremiumTable!$A$4:$D$41,4,FALSE),VLOOKUP(PolicyholdersSimulation!C431,PremiumTable!$G$4:$J$41,4,FALSE))</f>
        <v>124.81197180033109</v>
      </c>
      <c r="H431">
        <v>406</v>
      </c>
      <c r="I431">
        <v>39</v>
      </c>
      <c r="J431">
        <f t="shared" si="25"/>
        <v>39</v>
      </c>
      <c r="K431">
        <v>0.43156047971155675</v>
      </c>
      <c r="L431" t="str">
        <f t="shared" si="27"/>
        <v>Nonsmoker</v>
      </c>
      <c r="M431">
        <f>IF(L431="Nonsmoker",VLOOKUP(PolicyholdersSimulation!J431,PremiumTable!$M$4:$P$41,4,FALSE),VLOOKUP(PolicyholdersSimulation!J431,PremiumTable!$S$4:$V$41,4,FALSE))</f>
        <v>127.51379701253681</v>
      </c>
    </row>
    <row r="432" spans="1:13" x14ac:dyDescent="0.3">
      <c r="A432">
        <v>407</v>
      </c>
      <c r="B432">
        <v>31</v>
      </c>
      <c r="C432">
        <f t="shared" si="24"/>
        <v>31</v>
      </c>
      <c r="D432">
        <v>0.82450811356103015</v>
      </c>
      <c r="E432" t="str">
        <f t="shared" si="26"/>
        <v>Nonsmoker</v>
      </c>
      <c r="F432">
        <f>IF(E432="Nonsmoker",VLOOKUP(PolicyholdersSimulation!C432,PremiumTable!$A$4:$D$41,4,FALSE),VLOOKUP(PolicyholdersSimulation!C432,PremiumTable!$G$4:$J$41,4,FALSE))</f>
        <v>100.09400993488123</v>
      </c>
      <c r="H432">
        <v>407</v>
      </c>
      <c r="I432">
        <v>39</v>
      </c>
      <c r="J432">
        <f t="shared" si="25"/>
        <v>39</v>
      </c>
      <c r="K432">
        <v>0.38134875273262481</v>
      </c>
      <c r="L432" t="str">
        <f t="shared" si="27"/>
        <v>Nonsmoker</v>
      </c>
      <c r="M432">
        <f>IF(L432="Nonsmoker",VLOOKUP(PolicyholdersSimulation!J432,PremiumTable!$M$4:$P$41,4,FALSE),VLOOKUP(PolicyholdersSimulation!J432,PremiumTable!$S$4:$V$41,4,FALSE))</f>
        <v>127.51379701253681</v>
      </c>
    </row>
    <row r="433" spans="1:13" x14ac:dyDescent="0.3">
      <c r="A433">
        <v>408</v>
      </c>
      <c r="B433">
        <v>45</v>
      </c>
      <c r="C433">
        <f t="shared" si="24"/>
        <v>45</v>
      </c>
      <c r="D433">
        <v>0.44834027185705105</v>
      </c>
      <c r="E433" t="str">
        <f t="shared" si="26"/>
        <v>Nonsmoker</v>
      </c>
      <c r="F433">
        <f>IF(E433="Nonsmoker",VLOOKUP(PolicyholdersSimulation!C433,PremiumTable!$A$4:$D$41,4,FALSE),VLOOKUP(PolicyholdersSimulation!C433,PremiumTable!$G$4:$J$41,4,FALSE))</f>
        <v>213.66497913765616</v>
      </c>
      <c r="H433">
        <v>408</v>
      </c>
      <c r="I433">
        <v>25</v>
      </c>
      <c r="J433">
        <f t="shared" si="25"/>
        <v>25</v>
      </c>
      <c r="K433">
        <v>0.64131583820510318</v>
      </c>
      <c r="L433" t="str">
        <f t="shared" si="27"/>
        <v>Nonsmoker</v>
      </c>
      <c r="M433">
        <f>IF(L433="Nonsmoker",VLOOKUP(PolicyholdersSimulation!J433,PremiumTable!$M$4:$P$41,4,FALSE),VLOOKUP(PolicyholdersSimulation!J433,PremiumTable!$S$4:$V$41,4,FALSE))</f>
        <v>78.502715161507126</v>
      </c>
    </row>
    <row r="434" spans="1:13" x14ac:dyDescent="0.3">
      <c r="A434">
        <v>409</v>
      </c>
      <c r="B434">
        <v>28</v>
      </c>
      <c r="C434">
        <f t="shared" si="24"/>
        <v>28</v>
      </c>
      <c r="D434">
        <v>0.44319189772478984</v>
      </c>
      <c r="E434" t="str">
        <f t="shared" si="26"/>
        <v>Nonsmoker</v>
      </c>
      <c r="F434">
        <f>IF(E434="Nonsmoker",VLOOKUP(PolicyholdersSimulation!C434,PremiumTable!$A$4:$D$41,4,FALSE),VLOOKUP(PolicyholdersSimulation!C434,PremiumTable!$G$4:$J$41,4,FALSE))</f>
        <v>97.344900542817271</v>
      </c>
      <c r="H434">
        <v>409</v>
      </c>
      <c r="I434">
        <v>46</v>
      </c>
      <c r="J434">
        <f t="shared" si="25"/>
        <v>46</v>
      </c>
      <c r="K434">
        <v>8.6813063902660748E-2</v>
      </c>
      <c r="L434" t="str">
        <f t="shared" si="27"/>
        <v>Smoker</v>
      </c>
      <c r="M434">
        <f>IF(L434="Nonsmoker",VLOOKUP(PolicyholdersSimulation!J434,PremiumTable!$M$4:$P$41,4,FALSE),VLOOKUP(PolicyholdersSimulation!J434,PremiumTable!$S$4:$V$41,4,FALSE))</f>
        <v>456.7582478403491</v>
      </c>
    </row>
    <row r="435" spans="1:13" x14ac:dyDescent="0.3">
      <c r="A435">
        <v>410</v>
      </c>
      <c r="B435">
        <v>43</v>
      </c>
      <c r="C435">
        <f t="shared" si="24"/>
        <v>43</v>
      </c>
      <c r="D435">
        <v>0.98905777500180381</v>
      </c>
      <c r="E435" t="str">
        <f t="shared" si="26"/>
        <v>Nonsmoker</v>
      </c>
      <c r="F435">
        <f>IF(E435="Nonsmoker",VLOOKUP(PolicyholdersSimulation!C435,PremiumTable!$A$4:$D$41,4,FALSE),VLOOKUP(PolicyholdersSimulation!C435,PremiumTable!$G$4:$J$41,4,FALSE))</f>
        <v>187.89384537033465</v>
      </c>
      <c r="H435">
        <v>410</v>
      </c>
      <c r="I435">
        <v>34</v>
      </c>
      <c r="J435">
        <f t="shared" si="25"/>
        <v>34</v>
      </c>
      <c r="K435">
        <v>0.56603372158584053</v>
      </c>
      <c r="L435" t="str">
        <f t="shared" si="27"/>
        <v>Nonsmoker</v>
      </c>
      <c r="M435">
        <f>IF(L435="Nonsmoker",VLOOKUP(PolicyholdersSimulation!J435,PremiumTable!$M$4:$P$41,4,FALSE),VLOOKUP(PolicyholdersSimulation!J435,PremiumTable!$S$4:$V$41,4,FALSE))</f>
        <v>101.73968585979277</v>
      </c>
    </row>
    <row r="436" spans="1:13" x14ac:dyDescent="0.3">
      <c r="A436">
        <v>411</v>
      </c>
      <c r="B436">
        <v>35</v>
      </c>
      <c r="C436">
        <f t="shared" si="24"/>
        <v>35</v>
      </c>
      <c r="D436">
        <v>2.7497491115489936E-2</v>
      </c>
      <c r="E436" t="str">
        <f t="shared" si="26"/>
        <v>Smoker</v>
      </c>
      <c r="F436">
        <f>IF(E436="Nonsmoker",VLOOKUP(PolicyholdersSimulation!C436,PremiumTable!$A$4:$D$41,4,FALSE),VLOOKUP(PolicyholdersSimulation!C436,PremiumTable!$G$4:$J$41,4,FALSE))</f>
        <v>236.41979160208413</v>
      </c>
      <c r="H436">
        <v>411</v>
      </c>
      <c r="I436">
        <v>24</v>
      </c>
      <c r="J436">
        <f t="shared" si="25"/>
        <v>24</v>
      </c>
      <c r="K436">
        <v>6.6056853443095198E-2</v>
      </c>
      <c r="L436" t="str">
        <f t="shared" si="27"/>
        <v>Smoker</v>
      </c>
      <c r="M436">
        <f>IF(L436="Nonsmoker",VLOOKUP(PolicyholdersSimulation!J436,PremiumTable!$M$4:$P$41,4,FALSE),VLOOKUP(PolicyholdersSimulation!J436,PremiumTable!$S$4:$V$41,4,FALSE))</f>
        <v>102.03197477671861</v>
      </c>
    </row>
    <row r="437" spans="1:13" x14ac:dyDescent="0.3">
      <c r="A437">
        <v>412</v>
      </c>
      <c r="B437">
        <v>30</v>
      </c>
      <c r="C437">
        <f t="shared" si="24"/>
        <v>30</v>
      </c>
      <c r="D437">
        <v>0.42101317200739696</v>
      </c>
      <c r="E437" t="str">
        <f t="shared" si="26"/>
        <v>Nonsmoker</v>
      </c>
      <c r="F437">
        <f>IF(E437="Nonsmoker",VLOOKUP(PolicyholdersSimulation!C437,PremiumTable!$A$4:$D$41,4,FALSE),VLOOKUP(PolicyholdersSimulation!C437,PremiumTable!$G$4:$J$41,4,FALSE))</f>
        <v>98.268933119823288</v>
      </c>
      <c r="H437">
        <v>412</v>
      </c>
      <c r="I437">
        <v>33</v>
      </c>
      <c r="J437">
        <f t="shared" si="25"/>
        <v>33</v>
      </c>
      <c r="K437">
        <v>0.44545870693156087</v>
      </c>
      <c r="L437" t="str">
        <f t="shared" si="27"/>
        <v>Nonsmoker</v>
      </c>
      <c r="M437">
        <f>IF(L437="Nonsmoker",VLOOKUP(PolicyholdersSimulation!J437,PremiumTable!$M$4:$P$41,4,FALSE),VLOOKUP(PolicyholdersSimulation!J437,PremiumTable!$S$4:$V$41,4,FALSE))</f>
        <v>97.645038306373721</v>
      </c>
    </row>
    <row r="438" spans="1:13" x14ac:dyDescent="0.3">
      <c r="A438">
        <v>413</v>
      </c>
      <c r="B438">
        <v>31</v>
      </c>
      <c r="C438">
        <f t="shared" si="24"/>
        <v>31</v>
      </c>
      <c r="D438">
        <v>1.9479110065396599E-2</v>
      </c>
      <c r="E438" t="str">
        <f t="shared" si="26"/>
        <v>Smoker</v>
      </c>
      <c r="F438">
        <f>IF(E438="Nonsmoker",VLOOKUP(PolicyholdersSimulation!C438,PremiumTable!$A$4:$D$41,4,FALSE),VLOOKUP(PolicyholdersSimulation!C438,PremiumTable!$G$4:$J$41,4,FALSE))</f>
        <v>188.94899391585412</v>
      </c>
      <c r="H438">
        <v>413</v>
      </c>
      <c r="I438">
        <v>31</v>
      </c>
      <c r="J438">
        <f t="shared" si="25"/>
        <v>31</v>
      </c>
      <c r="K438">
        <v>0.36770942918804006</v>
      </c>
      <c r="L438" t="str">
        <f t="shared" si="27"/>
        <v>Nonsmoker</v>
      </c>
      <c r="M438">
        <f>IF(L438="Nonsmoker",VLOOKUP(PolicyholdersSimulation!J438,PremiumTable!$M$4:$P$41,4,FALSE),VLOOKUP(PolicyholdersSimulation!J438,PremiumTable!$S$4:$V$41,4,FALSE))</f>
        <v>90.615055552142564</v>
      </c>
    </row>
    <row r="439" spans="1:13" x14ac:dyDescent="0.3">
      <c r="A439">
        <v>414</v>
      </c>
      <c r="B439">
        <v>37</v>
      </c>
      <c r="C439">
        <f t="shared" si="24"/>
        <v>37</v>
      </c>
      <c r="D439">
        <v>0.60544018493756468</v>
      </c>
      <c r="E439" t="str">
        <f t="shared" si="26"/>
        <v>Nonsmoker</v>
      </c>
      <c r="F439">
        <f>IF(E439="Nonsmoker",VLOOKUP(PolicyholdersSimulation!C439,PremiumTable!$A$4:$D$41,4,FALSE),VLOOKUP(PolicyholdersSimulation!C439,PremiumTable!$G$4:$J$41,4,FALSE))</f>
        <v>131.04073052327638</v>
      </c>
      <c r="H439">
        <v>414</v>
      </c>
      <c r="I439">
        <v>31</v>
      </c>
      <c r="J439">
        <f t="shared" si="25"/>
        <v>31</v>
      </c>
      <c r="K439">
        <v>0.20695118388447065</v>
      </c>
      <c r="L439" t="str">
        <f t="shared" si="27"/>
        <v>Nonsmoker</v>
      </c>
      <c r="M439">
        <f>IF(L439="Nonsmoker",VLOOKUP(PolicyholdersSimulation!J439,PremiumTable!$M$4:$P$41,4,FALSE),VLOOKUP(PolicyholdersSimulation!J439,PremiumTable!$S$4:$V$41,4,FALSE))</f>
        <v>90.615055552142564</v>
      </c>
    </row>
    <row r="440" spans="1:13" x14ac:dyDescent="0.3">
      <c r="A440">
        <v>415</v>
      </c>
      <c r="B440">
        <v>32</v>
      </c>
      <c r="C440">
        <f t="shared" si="24"/>
        <v>32</v>
      </c>
      <c r="D440">
        <v>0.90499418119640196</v>
      </c>
      <c r="E440" t="str">
        <f t="shared" si="26"/>
        <v>Nonsmoker</v>
      </c>
      <c r="F440">
        <f>IF(E440="Nonsmoker",VLOOKUP(PolicyholdersSimulation!C440,PremiumTable!$A$4:$D$41,4,FALSE),VLOOKUP(PolicyholdersSimulation!C440,PremiumTable!$G$4:$J$41,4,FALSE))</f>
        <v>104.12568156832383</v>
      </c>
      <c r="H440">
        <v>415</v>
      </c>
      <c r="I440">
        <v>26</v>
      </c>
      <c r="J440">
        <f t="shared" si="25"/>
        <v>26</v>
      </c>
      <c r="K440">
        <v>2.1957875736857702E-2</v>
      </c>
      <c r="L440" t="str">
        <f t="shared" si="27"/>
        <v>Smoker</v>
      </c>
      <c r="M440">
        <f>IF(L440="Nonsmoker",VLOOKUP(PolicyholdersSimulation!J440,PremiumTable!$M$4:$P$41,4,FALSE),VLOOKUP(PolicyholdersSimulation!J440,PremiumTable!$S$4:$V$41,4,FALSE))</f>
        <v>110.73708221593456</v>
      </c>
    </row>
    <row r="441" spans="1:13" x14ac:dyDescent="0.3">
      <c r="A441">
        <v>416</v>
      </c>
      <c r="B441">
        <v>37</v>
      </c>
      <c r="C441">
        <f t="shared" si="24"/>
        <v>37</v>
      </c>
      <c r="D441">
        <v>0.2333442803363025</v>
      </c>
      <c r="E441" t="str">
        <f t="shared" si="26"/>
        <v>Nonsmoker</v>
      </c>
      <c r="F441">
        <f>IF(E441="Nonsmoker",VLOOKUP(PolicyholdersSimulation!C441,PremiumTable!$A$4:$D$41,4,FALSE),VLOOKUP(PolicyholdersSimulation!C441,PremiumTable!$G$4:$J$41,4,FALSE))</f>
        <v>131.04073052327638</v>
      </c>
      <c r="H441">
        <v>416</v>
      </c>
      <c r="I441">
        <v>27</v>
      </c>
      <c r="J441">
        <f t="shared" si="25"/>
        <v>27</v>
      </c>
      <c r="K441">
        <v>0.78468734450999733</v>
      </c>
      <c r="L441" t="str">
        <f t="shared" si="27"/>
        <v>Nonsmoker</v>
      </c>
      <c r="M441">
        <f>IF(L441="Nonsmoker",VLOOKUP(PolicyholdersSimulation!J441,PremiumTable!$M$4:$P$41,4,FALSE),VLOOKUP(PolicyholdersSimulation!J441,PremiumTable!$S$4:$V$41,4,FALSE))</f>
        <v>80.233973036058572</v>
      </c>
    </row>
    <row r="442" spans="1:13" x14ac:dyDescent="0.3">
      <c r="A442">
        <v>417</v>
      </c>
      <c r="B442">
        <v>35</v>
      </c>
      <c r="C442">
        <f t="shared" si="24"/>
        <v>35</v>
      </c>
      <c r="D442">
        <v>0.94106160366046776</v>
      </c>
      <c r="E442" t="str">
        <f t="shared" si="26"/>
        <v>Nonsmoker</v>
      </c>
      <c r="F442">
        <f>IF(E442="Nonsmoker",VLOOKUP(PolicyholdersSimulation!C442,PremiumTable!$A$4:$D$41,4,FALSE),VLOOKUP(PolicyholdersSimulation!C442,PremiumTable!$G$4:$J$41,4,FALSE))</f>
        <v>118.66696776486694</v>
      </c>
      <c r="H442">
        <v>417</v>
      </c>
      <c r="I442">
        <v>34</v>
      </c>
      <c r="J442">
        <f t="shared" si="25"/>
        <v>34</v>
      </c>
      <c r="K442">
        <v>0.2741761601251832</v>
      </c>
      <c r="L442" t="str">
        <f t="shared" si="27"/>
        <v>Nonsmoker</v>
      </c>
      <c r="M442">
        <f>IF(L442="Nonsmoker",VLOOKUP(PolicyholdersSimulation!J442,PremiumTable!$M$4:$P$41,4,FALSE),VLOOKUP(PolicyholdersSimulation!J442,PremiumTable!$S$4:$V$41,4,FALSE))</f>
        <v>101.73968585979277</v>
      </c>
    </row>
    <row r="443" spans="1:13" x14ac:dyDescent="0.3">
      <c r="A443">
        <v>418</v>
      </c>
      <c r="B443">
        <v>35</v>
      </c>
      <c r="C443">
        <f t="shared" si="24"/>
        <v>35</v>
      </c>
      <c r="D443">
        <v>0.82753982917995828</v>
      </c>
      <c r="E443" t="str">
        <f t="shared" si="26"/>
        <v>Nonsmoker</v>
      </c>
      <c r="F443">
        <f>IF(E443="Nonsmoker",VLOOKUP(PolicyholdersSimulation!C443,PremiumTable!$A$4:$D$41,4,FALSE),VLOOKUP(PolicyholdersSimulation!C443,PremiumTable!$G$4:$J$41,4,FALSE))</f>
        <v>118.66696776486694</v>
      </c>
      <c r="H443">
        <v>418</v>
      </c>
      <c r="I443">
        <v>28</v>
      </c>
      <c r="J443">
        <f t="shared" si="25"/>
        <v>28</v>
      </c>
      <c r="K443">
        <v>0.71738723443093322</v>
      </c>
      <c r="L443" t="str">
        <f t="shared" si="27"/>
        <v>Nonsmoker</v>
      </c>
      <c r="M443">
        <f>IF(L443="Nonsmoker",VLOOKUP(PolicyholdersSimulation!J443,PremiumTable!$M$4:$P$41,4,FALSE),VLOOKUP(PolicyholdersSimulation!J443,PremiumTable!$S$4:$V$41,4,FALSE))</f>
        <v>81.666348165376135</v>
      </c>
    </row>
    <row r="444" spans="1:13" x14ac:dyDescent="0.3">
      <c r="A444">
        <v>419</v>
      </c>
      <c r="B444">
        <v>32</v>
      </c>
      <c r="C444">
        <f t="shared" si="24"/>
        <v>32</v>
      </c>
      <c r="D444">
        <v>0.88163502049131914</v>
      </c>
      <c r="E444" t="str">
        <f t="shared" si="26"/>
        <v>Nonsmoker</v>
      </c>
      <c r="F444">
        <f>IF(E444="Nonsmoker",VLOOKUP(PolicyholdersSimulation!C444,PremiumTable!$A$4:$D$41,4,FALSE),VLOOKUP(PolicyholdersSimulation!C444,PremiumTable!$G$4:$J$41,4,FALSE))</f>
        <v>104.12568156832383</v>
      </c>
      <c r="H444">
        <v>419</v>
      </c>
      <c r="I444">
        <v>22</v>
      </c>
      <c r="J444">
        <f t="shared" si="25"/>
        <v>22</v>
      </c>
      <c r="K444">
        <v>0.76096689986705346</v>
      </c>
      <c r="L444" t="str">
        <f t="shared" si="27"/>
        <v>Nonsmoker</v>
      </c>
      <c r="M444">
        <f>IF(L444="Nonsmoker",VLOOKUP(PolicyholdersSimulation!J444,PremiumTable!$M$4:$P$41,4,FALSE),VLOOKUP(PolicyholdersSimulation!J444,PremiumTable!$S$4:$V$41,4,FALSE))</f>
        <v>81.743813936142374</v>
      </c>
    </row>
    <row r="445" spans="1:13" x14ac:dyDescent="0.3">
      <c r="A445">
        <v>420</v>
      </c>
      <c r="B445">
        <v>37</v>
      </c>
      <c r="C445">
        <f t="shared" si="24"/>
        <v>37</v>
      </c>
      <c r="D445">
        <v>0.93015118698427857</v>
      </c>
      <c r="E445" t="str">
        <f t="shared" si="26"/>
        <v>Nonsmoker</v>
      </c>
      <c r="F445">
        <f>IF(E445="Nonsmoker",VLOOKUP(PolicyholdersSimulation!C445,PremiumTable!$A$4:$D$41,4,FALSE),VLOOKUP(PolicyholdersSimulation!C445,PremiumTable!$G$4:$J$41,4,FALSE))</f>
        <v>131.04073052327638</v>
      </c>
      <c r="H445">
        <v>420</v>
      </c>
      <c r="I445">
        <v>32</v>
      </c>
      <c r="J445">
        <f t="shared" si="25"/>
        <v>32</v>
      </c>
      <c r="K445">
        <v>0.74413848197325771</v>
      </c>
      <c r="L445" t="str">
        <f t="shared" si="27"/>
        <v>Nonsmoker</v>
      </c>
      <c r="M445">
        <f>IF(L445="Nonsmoker",VLOOKUP(PolicyholdersSimulation!J445,PremiumTable!$M$4:$P$41,4,FALSE),VLOOKUP(PolicyholdersSimulation!J445,PremiumTable!$S$4:$V$41,4,FALSE))</f>
        <v>93.792888886888633</v>
      </c>
    </row>
    <row r="446" spans="1:13" x14ac:dyDescent="0.3">
      <c r="A446">
        <v>421</v>
      </c>
      <c r="B446">
        <v>39</v>
      </c>
      <c r="C446">
        <f t="shared" si="24"/>
        <v>39</v>
      </c>
      <c r="D446">
        <v>0.71809962246363879</v>
      </c>
      <c r="E446" t="str">
        <f t="shared" si="26"/>
        <v>Nonsmoker</v>
      </c>
      <c r="F446">
        <f>IF(E446="Nonsmoker",VLOOKUP(PolicyholdersSimulation!C446,PremiumTable!$A$4:$D$41,4,FALSE),VLOOKUP(PolicyholdersSimulation!C446,PremiumTable!$G$4:$J$41,4,FALSE))</f>
        <v>147.47819581803472</v>
      </c>
      <c r="H446">
        <v>421</v>
      </c>
      <c r="I446">
        <v>35</v>
      </c>
      <c r="J446">
        <f t="shared" si="25"/>
        <v>35</v>
      </c>
      <c r="K446">
        <v>0.87312872244030915</v>
      </c>
      <c r="L446" t="str">
        <f t="shared" si="27"/>
        <v>Nonsmoker</v>
      </c>
      <c r="M446">
        <f>IF(L446="Nonsmoker",VLOOKUP(PolicyholdersSimulation!J446,PremiumTable!$M$4:$P$41,4,FALSE),VLOOKUP(PolicyholdersSimulation!J446,PremiumTable!$S$4:$V$41,4,FALSE))</f>
        <v>106.37942043914147</v>
      </c>
    </row>
    <row r="447" spans="1:13" x14ac:dyDescent="0.3">
      <c r="A447">
        <v>422</v>
      </c>
      <c r="B447">
        <v>41</v>
      </c>
      <c r="C447">
        <f t="shared" si="24"/>
        <v>41</v>
      </c>
      <c r="D447">
        <v>0.74750511586348689</v>
      </c>
      <c r="E447" t="str">
        <f t="shared" si="26"/>
        <v>Nonsmoker</v>
      </c>
      <c r="F447">
        <f>IF(E447="Nonsmoker",VLOOKUP(PolicyholdersSimulation!C447,PremiumTable!$A$4:$D$41,4,FALSE),VLOOKUP(PolicyholdersSimulation!C447,PremiumTable!$G$4:$J$41,4,FALSE))</f>
        <v>167.10777343661104</v>
      </c>
      <c r="H447">
        <v>422</v>
      </c>
      <c r="I447">
        <v>32</v>
      </c>
      <c r="J447">
        <f t="shared" si="25"/>
        <v>32</v>
      </c>
      <c r="K447">
        <v>0.94416351508966256</v>
      </c>
      <c r="L447" t="str">
        <f t="shared" si="27"/>
        <v>Nonsmoker</v>
      </c>
      <c r="M447">
        <f>IF(L447="Nonsmoker",VLOOKUP(PolicyholdersSimulation!J447,PremiumTable!$M$4:$P$41,4,FALSE),VLOOKUP(PolicyholdersSimulation!J447,PremiumTable!$S$4:$V$41,4,FALSE))</f>
        <v>93.792888886888633</v>
      </c>
    </row>
    <row r="448" spans="1:13" x14ac:dyDescent="0.3">
      <c r="A448">
        <v>423</v>
      </c>
      <c r="B448">
        <v>32</v>
      </c>
      <c r="C448">
        <f t="shared" si="24"/>
        <v>32</v>
      </c>
      <c r="D448">
        <v>0.15316128659207406</v>
      </c>
      <c r="E448" t="str">
        <f t="shared" si="26"/>
        <v>Smoker</v>
      </c>
      <c r="F448">
        <f>IF(E448="Nonsmoker",VLOOKUP(PolicyholdersSimulation!C448,PremiumTable!$A$4:$D$41,4,FALSE),VLOOKUP(PolicyholdersSimulation!C448,PremiumTable!$G$4:$J$41,4,FALSE))</f>
        <v>201.62568229975656</v>
      </c>
      <c r="H448">
        <v>423</v>
      </c>
      <c r="I448">
        <v>25</v>
      </c>
      <c r="J448">
        <f t="shared" si="25"/>
        <v>25</v>
      </c>
      <c r="K448">
        <v>0.61690813846325487</v>
      </c>
      <c r="L448" t="str">
        <f t="shared" si="27"/>
        <v>Nonsmoker</v>
      </c>
      <c r="M448">
        <f>IF(L448="Nonsmoker",VLOOKUP(PolicyholdersSimulation!J448,PremiumTable!$M$4:$P$41,4,FALSE),VLOOKUP(PolicyholdersSimulation!J448,PremiumTable!$S$4:$V$41,4,FALSE))</f>
        <v>78.502715161507126</v>
      </c>
    </row>
    <row r="449" spans="1:13" x14ac:dyDescent="0.3">
      <c r="A449">
        <v>424</v>
      </c>
      <c r="B449">
        <v>33</v>
      </c>
      <c r="C449">
        <f t="shared" si="24"/>
        <v>33</v>
      </c>
      <c r="D449">
        <v>0.97547071763405779</v>
      </c>
      <c r="E449" t="str">
        <f t="shared" si="26"/>
        <v>Nonsmoker</v>
      </c>
      <c r="F449">
        <f>IF(E449="Nonsmoker",VLOOKUP(PolicyholdersSimulation!C449,PremiumTable!$A$4:$D$41,4,FALSE),VLOOKUP(PolicyholdersSimulation!C449,PremiumTable!$G$4:$J$41,4,FALSE))</f>
        <v>108.39931664719025</v>
      </c>
      <c r="H449">
        <v>424</v>
      </c>
      <c r="I449">
        <v>26</v>
      </c>
      <c r="J449">
        <f t="shared" si="25"/>
        <v>26</v>
      </c>
      <c r="K449">
        <v>9.3512840481194348E-2</v>
      </c>
      <c r="L449" t="str">
        <f t="shared" si="27"/>
        <v>Smoker</v>
      </c>
      <c r="M449">
        <f>IF(L449="Nonsmoker",VLOOKUP(PolicyholdersSimulation!J449,PremiumTable!$M$4:$P$41,4,FALSE),VLOOKUP(PolicyholdersSimulation!J449,PremiumTable!$S$4:$V$41,4,FALSE))</f>
        <v>110.73708221593456</v>
      </c>
    </row>
    <row r="450" spans="1:13" x14ac:dyDescent="0.3">
      <c r="A450">
        <v>425</v>
      </c>
      <c r="B450">
        <v>29</v>
      </c>
      <c r="C450">
        <f t="shared" si="24"/>
        <v>29</v>
      </c>
      <c r="D450">
        <v>0.53681948949720337</v>
      </c>
      <c r="E450" t="str">
        <f t="shared" si="26"/>
        <v>Nonsmoker</v>
      </c>
      <c r="F450">
        <f>IF(E450="Nonsmoker",VLOOKUP(PolicyholdersSimulation!C450,PremiumTable!$A$4:$D$41,4,FALSE),VLOOKUP(PolicyholdersSimulation!C450,PremiumTable!$G$4:$J$41,4,FALSE))</f>
        <v>97.884728277152888</v>
      </c>
      <c r="H450">
        <v>425</v>
      </c>
      <c r="I450">
        <v>36</v>
      </c>
      <c r="J450">
        <f t="shared" si="25"/>
        <v>36</v>
      </c>
      <c r="K450">
        <v>0.80758806546104311</v>
      </c>
      <c r="L450" t="str">
        <f t="shared" si="27"/>
        <v>Nonsmoker</v>
      </c>
      <c r="M450">
        <f>IF(L450="Nonsmoker",VLOOKUP(PolicyholdersSimulation!J450,PremiumTable!$M$4:$P$41,4,FALSE),VLOOKUP(PolicyholdersSimulation!J450,PremiumTable!$S$4:$V$41,4,FALSE))</f>
        <v>111.05506919808718</v>
      </c>
    </row>
    <row r="451" spans="1:13" x14ac:dyDescent="0.3">
      <c r="A451">
        <v>426</v>
      </c>
      <c r="B451">
        <v>29</v>
      </c>
      <c r="C451">
        <f t="shared" si="24"/>
        <v>29</v>
      </c>
      <c r="D451">
        <v>0.22353729886440665</v>
      </c>
      <c r="E451" t="str">
        <f t="shared" si="26"/>
        <v>Nonsmoker</v>
      </c>
      <c r="F451">
        <f>IF(E451="Nonsmoker",VLOOKUP(PolicyholdersSimulation!C451,PremiumTable!$A$4:$D$41,4,FALSE),VLOOKUP(PolicyholdersSimulation!C451,PremiumTable!$G$4:$J$41,4,FALSE))</f>
        <v>97.884728277152888</v>
      </c>
      <c r="H451">
        <v>426</v>
      </c>
      <c r="I451">
        <v>22</v>
      </c>
      <c r="J451">
        <f t="shared" si="25"/>
        <v>22</v>
      </c>
      <c r="K451">
        <v>0.11420979330131997</v>
      </c>
      <c r="L451" t="str">
        <f t="shared" si="27"/>
        <v>Smoker</v>
      </c>
      <c r="M451">
        <f>IF(L451="Nonsmoker",VLOOKUP(PolicyholdersSimulation!J451,PremiumTable!$M$4:$P$41,4,FALSE),VLOOKUP(PolicyholdersSimulation!J451,PremiumTable!$S$4:$V$41,4,FALSE))</f>
        <v>96.757031722187165</v>
      </c>
    </row>
    <row r="452" spans="1:13" x14ac:dyDescent="0.3">
      <c r="A452">
        <v>427</v>
      </c>
      <c r="B452">
        <v>32</v>
      </c>
      <c r="C452">
        <f t="shared" si="24"/>
        <v>32</v>
      </c>
      <c r="D452">
        <v>0.43425850884399286</v>
      </c>
      <c r="E452" t="str">
        <f t="shared" si="26"/>
        <v>Nonsmoker</v>
      </c>
      <c r="F452">
        <f>IF(E452="Nonsmoker",VLOOKUP(PolicyholdersSimulation!C452,PremiumTable!$A$4:$D$41,4,FALSE),VLOOKUP(PolicyholdersSimulation!C452,PremiumTable!$G$4:$J$41,4,FALSE))</f>
        <v>104.12568156832383</v>
      </c>
      <c r="H452">
        <v>427</v>
      </c>
      <c r="I452">
        <v>29</v>
      </c>
      <c r="J452">
        <f t="shared" si="25"/>
        <v>29</v>
      </c>
      <c r="K452">
        <v>0.95528403183659938</v>
      </c>
      <c r="L452" t="str">
        <f t="shared" si="27"/>
        <v>Nonsmoker</v>
      </c>
      <c r="M452">
        <f>IF(L452="Nonsmoker",VLOOKUP(PolicyholdersSimulation!J452,PremiumTable!$M$4:$P$41,4,FALSE),VLOOKUP(PolicyholdersSimulation!J452,PremiumTable!$S$4:$V$41,4,FALSE))</f>
        <v>84.42413832124069</v>
      </c>
    </row>
    <row r="453" spans="1:13" x14ac:dyDescent="0.3">
      <c r="A453">
        <v>428</v>
      </c>
      <c r="B453">
        <v>42</v>
      </c>
      <c r="C453">
        <f t="shared" si="24"/>
        <v>42</v>
      </c>
      <c r="D453">
        <v>0.6894097776118765</v>
      </c>
      <c r="E453" t="str">
        <f t="shared" si="26"/>
        <v>Nonsmoker</v>
      </c>
      <c r="F453">
        <f>IF(E453="Nonsmoker",VLOOKUP(PolicyholdersSimulation!C453,PremiumTable!$A$4:$D$41,4,FALSE),VLOOKUP(PolicyholdersSimulation!C453,PremiumTable!$G$4:$J$41,4,FALSE))</f>
        <v>177.00343034109287</v>
      </c>
      <c r="H453">
        <v>428</v>
      </c>
      <c r="I453">
        <v>32</v>
      </c>
      <c r="J453">
        <f t="shared" si="25"/>
        <v>32</v>
      </c>
      <c r="K453">
        <v>0.38304686364882046</v>
      </c>
      <c r="L453" t="str">
        <f t="shared" si="27"/>
        <v>Nonsmoker</v>
      </c>
      <c r="M453">
        <f>IF(L453="Nonsmoker",VLOOKUP(PolicyholdersSimulation!J453,PremiumTable!$M$4:$P$41,4,FALSE),VLOOKUP(PolicyholdersSimulation!J453,PremiumTable!$S$4:$V$41,4,FALSE))</f>
        <v>93.792888886888633</v>
      </c>
    </row>
    <row r="454" spans="1:13" x14ac:dyDescent="0.3">
      <c r="A454">
        <v>429</v>
      </c>
      <c r="B454">
        <v>37</v>
      </c>
      <c r="C454">
        <f t="shared" si="24"/>
        <v>37</v>
      </c>
      <c r="D454">
        <v>0.72688715043736685</v>
      </c>
      <c r="E454" t="str">
        <f t="shared" si="26"/>
        <v>Nonsmoker</v>
      </c>
      <c r="F454">
        <f>IF(E454="Nonsmoker",VLOOKUP(PolicyholdersSimulation!C454,PremiumTable!$A$4:$D$41,4,FALSE),VLOOKUP(PolicyholdersSimulation!C454,PremiumTable!$G$4:$J$41,4,FALSE))</f>
        <v>131.04073052327638</v>
      </c>
      <c r="H454">
        <v>429</v>
      </c>
      <c r="I454">
        <v>35</v>
      </c>
      <c r="J454">
        <f t="shared" si="25"/>
        <v>35</v>
      </c>
      <c r="K454">
        <v>0.12148942354317294</v>
      </c>
      <c r="L454" t="str">
        <f t="shared" si="27"/>
        <v>Smoker</v>
      </c>
      <c r="M454">
        <f>IF(L454="Nonsmoker",VLOOKUP(PolicyholdersSimulation!J454,PremiumTable!$M$4:$P$41,4,FALSE),VLOOKUP(PolicyholdersSimulation!J454,PremiumTable!$S$4:$V$41,4,FALSE))</f>
        <v>196.78106952359585</v>
      </c>
    </row>
    <row r="455" spans="1:13" x14ac:dyDescent="0.3">
      <c r="A455">
        <v>430</v>
      </c>
      <c r="B455">
        <v>31</v>
      </c>
      <c r="C455">
        <f t="shared" si="24"/>
        <v>31</v>
      </c>
      <c r="D455">
        <v>0.1767142725669556</v>
      </c>
      <c r="E455" t="str">
        <f t="shared" si="26"/>
        <v>Smoker</v>
      </c>
      <c r="F455">
        <f>IF(E455="Nonsmoker",VLOOKUP(PolicyholdersSimulation!C455,PremiumTable!$A$4:$D$41,4,FALSE),VLOOKUP(PolicyholdersSimulation!C455,PremiumTable!$G$4:$J$41,4,FALSE))</f>
        <v>188.94899391585412</v>
      </c>
      <c r="H455">
        <v>430</v>
      </c>
      <c r="I455">
        <v>37</v>
      </c>
      <c r="J455">
        <f t="shared" si="25"/>
        <v>37</v>
      </c>
      <c r="K455">
        <v>0.84055407204648547</v>
      </c>
      <c r="L455" t="str">
        <f t="shared" si="27"/>
        <v>Nonsmoker</v>
      </c>
      <c r="M455">
        <f>IF(L455="Nonsmoker",VLOOKUP(PolicyholdersSimulation!J455,PremiumTable!$M$4:$P$41,4,FALSE),VLOOKUP(PolicyholdersSimulation!J455,PremiumTable!$S$4:$V$41,4,FALSE))</f>
        <v>116.32337590156675</v>
      </c>
    </row>
    <row r="456" spans="1:13" x14ac:dyDescent="0.3">
      <c r="A456">
        <v>431</v>
      </c>
      <c r="B456">
        <v>38</v>
      </c>
      <c r="C456">
        <f t="shared" si="24"/>
        <v>38</v>
      </c>
      <c r="D456">
        <v>0.56184263214870511</v>
      </c>
      <c r="E456" t="str">
        <f t="shared" si="26"/>
        <v>Nonsmoker</v>
      </c>
      <c r="F456">
        <f>IF(E456="Nonsmoker",VLOOKUP(PolicyholdersSimulation!C456,PremiumTable!$A$4:$D$41,4,FALSE),VLOOKUP(PolicyholdersSimulation!C456,PremiumTable!$G$4:$J$41,4,FALSE))</f>
        <v>138.40856497239142</v>
      </c>
      <c r="H456">
        <v>431</v>
      </c>
      <c r="I456">
        <v>20</v>
      </c>
      <c r="J456">
        <f t="shared" si="25"/>
        <v>20</v>
      </c>
      <c r="K456">
        <v>0.89838941051871823</v>
      </c>
      <c r="L456" t="str">
        <f t="shared" si="27"/>
        <v>Nonsmoker</v>
      </c>
      <c r="M456">
        <f>IF(L456="Nonsmoker",VLOOKUP(PolicyholdersSimulation!J456,PremiumTable!$M$4:$P$41,4,FALSE),VLOOKUP(PolicyholdersSimulation!J456,PremiumTable!$S$4:$V$41,4,FALSE))</f>
        <v>86.6404678253936</v>
      </c>
    </row>
    <row r="457" spans="1:13" x14ac:dyDescent="0.3">
      <c r="A457">
        <v>432</v>
      </c>
      <c r="B457">
        <v>30</v>
      </c>
      <c r="C457">
        <f t="shared" si="24"/>
        <v>30</v>
      </c>
      <c r="D457">
        <v>0.17610183416554703</v>
      </c>
      <c r="E457" t="str">
        <f t="shared" si="26"/>
        <v>Smoker</v>
      </c>
      <c r="F457">
        <f>IF(E457="Nonsmoker",VLOOKUP(PolicyholdersSimulation!C457,PremiumTable!$A$4:$D$41,4,FALSE),VLOOKUP(PolicyholdersSimulation!C457,PremiumTable!$G$4:$J$41,4,FALSE))</f>
        <v>177.22130360568556</v>
      </c>
      <c r="H457">
        <v>432</v>
      </c>
      <c r="I457">
        <v>33</v>
      </c>
      <c r="J457">
        <f t="shared" si="25"/>
        <v>33</v>
      </c>
      <c r="K457">
        <v>0.40029993962043753</v>
      </c>
      <c r="L457" t="str">
        <f t="shared" si="27"/>
        <v>Nonsmoker</v>
      </c>
      <c r="M457">
        <f>IF(L457="Nonsmoker",VLOOKUP(PolicyholdersSimulation!J457,PremiumTable!$M$4:$P$41,4,FALSE),VLOOKUP(PolicyholdersSimulation!J457,PremiumTable!$S$4:$V$41,4,FALSE))</f>
        <v>97.645038306373721</v>
      </c>
    </row>
    <row r="458" spans="1:13" x14ac:dyDescent="0.3">
      <c r="A458">
        <v>433</v>
      </c>
      <c r="B458">
        <v>40</v>
      </c>
      <c r="C458">
        <f t="shared" si="24"/>
        <v>40</v>
      </c>
      <c r="D458">
        <v>0.94274770074689329</v>
      </c>
      <c r="E458" t="str">
        <f t="shared" si="26"/>
        <v>Nonsmoker</v>
      </c>
      <c r="F458">
        <f>IF(E458="Nonsmoker",VLOOKUP(PolicyholdersSimulation!C458,PremiumTable!$A$4:$D$41,4,FALSE),VLOOKUP(PolicyholdersSimulation!C458,PremiumTable!$G$4:$J$41,4,FALSE))</f>
        <v>157.14195579270111</v>
      </c>
      <c r="H458">
        <v>433</v>
      </c>
      <c r="I458">
        <v>35</v>
      </c>
      <c r="J458">
        <f t="shared" si="25"/>
        <v>35</v>
      </c>
      <c r="K458">
        <v>0.63882740645761138</v>
      </c>
      <c r="L458" t="str">
        <f t="shared" si="27"/>
        <v>Nonsmoker</v>
      </c>
      <c r="M458">
        <f>IF(L458="Nonsmoker",VLOOKUP(PolicyholdersSimulation!J458,PremiumTable!$M$4:$P$41,4,FALSE),VLOOKUP(PolicyholdersSimulation!J458,PremiumTable!$S$4:$V$41,4,FALSE))</f>
        <v>106.37942043914147</v>
      </c>
    </row>
    <row r="459" spans="1:13" x14ac:dyDescent="0.3">
      <c r="A459">
        <v>434</v>
      </c>
      <c r="B459">
        <v>41</v>
      </c>
      <c r="C459">
        <f t="shared" si="24"/>
        <v>41</v>
      </c>
      <c r="D459">
        <v>0.27549106564302261</v>
      </c>
      <c r="E459" t="str">
        <f t="shared" si="26"/>
        <v>Nonsmoker</v>
      </c>
      <c r="F459">
        <f>IF(E459="Nonsmoker",VLOOKUP(PolicyholdersSimulation!C459,PremiumTable!$A$4:$D$41,4,FALSE),VLOOKUP(PolicyholdersSimulation!C459,PremiumTable!$G$4:$J$41,4,FALSE))</f>
        <v>167.10777343661104</v>
      </c>
      <c r="H459">
        <v>434</v>
      </c>
      <c r="I459">
        <v>30</v>
      </c>
      <c r="J459">
        <f t="shared" si="25"/>
        <v>30</v>
      </c>
      <c r="K459">
        <v>0.79289757439217878</v>
      </c>
      <c r="L459" t="str">
        <f t="shared" si="27"/>
        <v>Nonsmoker</v>
      </c>
      <c r="M459">
        <f>IF(L459="Nonsmoker",VLOOKUP(PolicyholdersSimulation!J459,PremiumTable!$M$4:$P$41,4,FALSE),VLOOKUP(PolicyholdersSimulation!J459,PremiumTable!$S$4:$V$41,4,FALSE))</f>
        <v>86.835735543592065</v>
      </c>
    </row>
    <row r="460" spans="1:13" x14ac:dyDescent="0.3">
      <c r="A460">
        <v>435</v>
      </c>
      <c r="B460">
        <v>36</v>
      </c>
      <c r="C460">
        <f t="shared" si="24"/>
        <v>36</v>
      </c>
      <c r="D460">
        <v>0.29493852115081343</v>
      </c>
      <c r="E460" t="str">
        <f t="shared" si="26"/>
        <v>Nonsmoker</v>
      </c>
      <c r="F460">
        <f>IF(E460="Nonsmoker",VLOOKUP(PolicyholdersSimulation!C460,PremiumTable!$A$4:$D$41,4,FALSE),VLOOKUP(PolicyholdersSimulation!C460,PremiumTable!$G$4:$J$41,4,FALSE))</f>
        <v>124.81197180033109</v>
      </c>
      <c r="H460">
        <v>435</v>
      </c>
      <c r="I460">
        <v>29</v>
      </c>
      <c r="J460">
        <f t="shared" si="25"/>
        <v>29</v>
      </c>
      <c r="K460">
        <v>0.97479224538156528</v>
      </c>
      <c r="L460" t="str">
        <f t="shared" si="27"/>
        <v>Nonsmoker</v>
      </c>
      <c r="M460">
        <f>IF(L460="Nonsmoker",VLOOKUP(PolicyholdersSimulation!J460,PremiumTable!$M$4:$P$41,4,FALSE),VLOOKUP(PolicyholdersSimulation!J460,PremiumTable!$S$4:$V$41,4,FALSE))</f>
        <v>84.42413832124069</v>
      </c>
    </row>
    <row r="461" spans="1:13" x14ac:dyDescent="0.3">
      <c r="A461">
        <v>436</v>
      </c>
      <c r="B461">
        <v>35</v>
      </c>
      <c r="C461">
        <f t="shared" si="24"/>
        <v>35</v>
      </c>
      <c r="D461">
        <v>0.53548608561077926</v>
      </c>
      <c r="E461" t="str">
        <f t="shared" si="26"/>
        <v>Nonsmoker</v>
      </c>
      <c r="F461">
        <f>IF(E461="Nonsmoker",VLOOKUP(PolicyholdersSimulation!C461,PremiumTable!$A$4:$D$41,4,FALSE),VLOOKUP(PolicyholdersSimulation!C461,PremiumTable!$G$4:$J$41,4,FALSE))</f>
        <v>118.66696776486694</v>
      </c>
      <c r="H461">
        <v>436</v>
      </c>
      <c r="I461">
        <v>32</v>
      </c>
      <c r="J461">
        <f t="shared" si="25"/>
        <v>32</v>
      </c>
      <c r="K461">
        <v>0.7649978670672869</v>
      </c>
      <c r="L461" t="str">
        <f t="shared" si="27"/>
        <v>Nonsmoker</v>
      </c>
      <c r="M461">
        <f>IF(L461="Nonsmoker",VLOOKUP(PolicyholdersSimulation!J461,PremiumTable!$M$4:$P$41,4,FALSE),VLOOKUP(PolicyholdersSimulation!J461,PremiumTable!$S$4:$V$41,4,FALSE))</f>
        <v>93.792888886888633</v>
      </c>
    </row>
    <row r="462" spans="1:13" x14ac:dyDescent="0.3">
      <c r="A462">
        <v>437</v>
      </c>
      <c r="B462">
        <v>28</v>
      </c>
      <c r="C462">
        <f t="shared" si="24"/>
        <v>28</v>
      </c>
      <c r="D462">
        <v>0.23593918810367276</v>
      </c>
      <c r="E462" t="str">
        <f t="shared" si="26"/>
        <v>Nonsmoker</v>
      </c>
      <c r="F462">
        <f>IF(E462="Nonsmoker",VLOOKUP(PolicyholdersSimulation!C462,PremiumTable!$A$4:$D$41,4,FALSE),VLOOKUP(PolicyholdersSimulation!C462,PremiumTable!$G$4:$J$41,4,FALSE))</f>
        <v>97.344900542817271</v>
      </c>
      <c r="H462">
        <v>437</v>
      </c>
      <c r="I462">
        <v>34</v>
      </c>
      <c r="J462">
        <f t="shared" si="25"/>
        <v>34</v>
      </c>
      <c r="K462">
        <v>0.85074674727378308</v>
      </c>
      <c r="L462" t="str">
        <f t="shared" si="27"/>
        <v>Nonsmoker</v>
      </c>
      <c r="M462">
        <f>IF(L462="Nonsmoker",VLOOKUP(PolicyholdersSimulation!J462,PremiumTable!$M$4:$P$41,4,FALSE),VLOOKUP(PolicyholdersSimulation!J462,PremiumTable!$S$4:$V$41,4,FALSE))</f>
        <v>101.73968585979277</v>
      </c>
    </row>
    <row r="463" spans="1:13" x14ac:dyDescent="0.3">
      <c r="A463">
        <v>438</v>
      </c>
      <c r="B463">
        <v>38</v>
      </c>
      <c r="C463">
        <f t="shared" si="24"/>
        <v>38</v>
      </c>
      <c r="D463">
        <v>0.48478750582538188</v>
      </c>
      <c r="E463" t="str">
        <f t="shared" si="26"/>
        <v>Nonsmoker</v>
      </c>
      <c r="F463">
        <f>IF(E463="Nonsmoker",VLOOKUP(PolicyholdersSimulation!C463,PremiumTable!$A$4:$D$41,4,FALSE),VLOOKUP(PolicyholdersSimulation!C463,PremiumTable!$G$4:$J$41,4,FALSE))</f>
        <v>138.40856497239142</v>
      </c>
      <c r="H463">
        <v>438</v>
      </c>
      <c r="I463">
        <v>20</v>
      </c>
      <c r="J463">
        <f t="shared" si="25"/>
        <v>20</v>
      </c>
      <c r="K463">
        <v>2.085777261463273E-2</v>
      </c>
      <c r="L463" t="str">
        <f t="shared" si="27"/>
        <v>Smoker</v>
      </c>
      <c r="M463">
        <f>IF(L463="Nonsmoker",VLOOKUP(PolicyholdersSimulation!J463,PremiumTable!$M$4:$P$41,4,FALSE),VLOOKUP(PolicyholdersSimulation!J463,PremiumTable!$S$4:$V$41,4,FALSE))</f>
        <v>95.41892217849319</v>
      </c>
    </row>
    <row r="464" spans="1:13" x14ac:dyDescent="0.3">
      <c r="A464">
        <v>439</v>
      </c>
      <c r="B464">
        <v>36</v>
      </c>
      <c r="C464">
        <f t="shared" si="24"/>
        <v>36</v>
      </c>
      <c r="D464">
        <v>0.24929842793315915</v>
      </c>
      <c r="E464" t="str">
        <f t="shared" si="26"/>
        <v>Nonsmoker</v>
      </c>
      <c r="F464">
        <f>IF(E464="Nonsmoker",VLOOKUP(PolicyholdersSimulation!C464,PremiumTable!$A$4:$D$41,4,FALSE),VLOOKUP(PolicyholdersSimulation!C464,PremiumTable!$G$4:$J$41,4,FALSE))</f>
        <v>124.81197180033109</v>
      </c>
      <c r="H464">
        <v>439</v>
      </c>
      <c r="I464">
        <v>25</v>
      </c>
      <c r="J464">
        <f t="shared" si="25"/>
        <v>25</v>
      </c>
      <c r="K464">
        <v>0.23862688774610186</v>
      </c>
      <c r="L464" t="str">
        <f t="shared" si="27"/>
        <v>Nonsmoker</v>
      </c>
      <c r="M464">
        <f>IF(L464="Nonsmoker",VLOOKUP(PolicyholdersSimulation!J464,PremiumTable!$M$4:$P$41,4,FALSE),VLOOKUP(PolicyholdersSimulation!J464,PremiumTable!$S$4:$V$41,4,FALSE))</f>
        <v>78.502715161507126</v>
      </c>
    </row>
    <row r="465" spans="1:13" x14ac:dyDescent="0.3">
      <c r="A465">
        <v>440</v>
      </c>
      <c r="B465">
        <v>20</v>
      </c>
      <c r="C465">
        <f t="shared" si="24"/>
        <v>20</v>
      </c>
      <c r="D465">
        <v>0.49802091961795325</v>
      </c>
      <c r="E465" t="str">
        <f t="shared" si="26"/>
        <v>Nonsmoker</v>
      </c>
      <c r="F465">
        <f>IF(E465="Nonsmoker",VLOOKUP(PolicyholdersSimulation!C465,PremiumTable!$A$4:$D$41,4,FALSE),VLOOKUP(PolicyholdersSimulation!C465,PremiumTable!$G$4:$J$41,4,FALSE))</f>
        <v>138.93464984623427</v>
      </c>
      <c r="H465">
        <v>440</v>
      </c>
      <c r="I465">
        <v>27</v>
      </c>
      <c r="J465">
        <f t="shared" si="25"/>
        <v>27</v>
      </c>
      <c r="K465">
        <v>0.55792956716141684</v>
      </c>
      <c r="L465" t="str">
        <f t="shared" si="27"/>
        <v>Nonsmoker</v>
      </c>
      <c r="M465">
        <f>IF(L465="Nonsmoker",VLOOKUP(PolicyholdersSimulation!J465,PremiumTable!$M$4:$P$41,4,FALSE),VLOOKUP(PolicyholdersSimulation!J465,PremiumTable!$S$4:$V$41,4,FALSE))</f>
        <v>80.233973036058572</v>
      </c>
    </row>
    <row r="466" spans="1:13" x14ac:dyDescent="0.3">
      <c r="A466">
        <v>441</v>
      </c>
      <c r="B466">
        <v>38</v>
      </c>
      <c r="C466">
        <f t="shared" si="24"/>
        <v>38</v>
      </c>
      <c r="D466">
        <v>0.83565177089408949</v>
      </c>
      <c r="E466" t="str">
        <f t="shared" si="26"/>
        <v>Nonsmoker</v>
      </c>
      <c r="F466">
        <f>IF(E466="Nonsmoker",VLOOKUP(PolicyholdersSimulation!C466,PremiumTable!$A$4:$D$41,4,FALSE),VLOOKUP(PolicyholdersSimulation!C466,PremiumTable!$G$4:$J$41,4,FALSE))</f>
        <v>138.40856497239142</v>
      </c>
      <c r="H466">
        <v>441</v>
      </c>
      <c r="I466">
        <v>33</v>
      </c>
      <c r="J466">
        <f t="shared" si="25"/>
        <v>33</v>
      </c>
      <c r="K466">
        <v>0.50588343391995283</v>
      </c>
      <c r="L466" t="str">
        <f t="shared" si="27"/>
        <v>Nonsmoker</v>
      </c>
      <c r="M466">
        <f>IF(L466="Nonsmoker",VLOOKUP(PolicyholdersSimulation!J466,PremiumTable!$M$4:$P$41,4,FALSE),VLOOKUP(PolicyholdersSimulation!J466,PremiumTable!$S$4:$V$41,4,FALSE))</f>
        <v>97.645038306373721</v>
      </c>
    </row>
    <row r="467" spans="1:13" x14ac:dyDescent="0.3">
      <c r="A467">
        <v>442</v>
      </c>
      <c r="B467">
        <v>46</v>
      </c>
      <c r="C467">
        <f t="shared" si="24"/>
        <v>46</v>
      </c>
      <c r="D467">
        <v>0.80983052026541169</v>
      </c>
      <c r="E467" t="str">
        <f t="shared" si="26"/>
        <v>Nonsmoker</v>
      </c>
      <c r="F467">
        <f>IF(E467="Nonsmoker",VLOOKUP(PolicyholdersSimulation!C467,PremiumTable!$A$4:$D$41,4,FALSE),VLOOKUP(PolicyholdersSimulation!C467,PremiumTable!$G$4:$J$41,4,FALSE))</f>
        <v>229.57701919641352</v>
      </c>
      <c r="H467">
        <v>442</v>
      </c>
      <c r="I467">
        <v>29</v>
      </c>
      <c r="J467">
        <f t="shared" si="25"/>
        <v>29</v>
      </c>
      <c r="K467">
        <v>0.76830330861800367</v>
      </c>
      <c r="L467" t="str">
        <f t="shared" si="27"/>
        <v>Nonsmoker</v>
      </c>
      <c r="M467">
        <f>IF(L467="Nonsmoker",VLOOKUP(PolicyholdersSimulation!J467,PremiumTable!$M$4:$P$41,4,FALSE),VLOOKUP(PolicyholdersSimulation!J467,PremiumTable!$S$4:$V$41,4,FALSE))</f>
        <v>84.42413832124069</v>
      </c>
    </row>
    <row r="468" spans="1:13" x14ac:dyDescent="0.3">
      <c r="A468">
        <v>443</v>
      </c>
      <c r="B468">
        <v>30</v>
      </c>
      <c r="C468">
        <f t="shared" si="24"/>
        <v>30</v>
      </c>
      <c r="D468">
        <v>0.81406387749775766</v>
      </c>
      <c r="E468" t="str">
        <f t="shared" si="26"/>
        <v>Nonsmoker</v>
      </c>
      <c r="F468">
        <f>IF(E468="Nonsmoker",VLOOKUP(PolicyholdersSimulation!C468,PremiumTable!$A$4:$D$41,4,FALSE),VLOOKUP(PolicyholdersSimulation!C468,PremiumTable!$G$4:$J$41,4,FALSE))</f>
        <v>98.268933119823288</v>
      </c>
      <c r="H468">
        <v>443</v>
      </c>
      <c r="I468">
        <v>31</v>
      </c>
      <c r="J468">
        <f t="shared" si="25"/>
        <v>31</v>
      </c>
      <c r="K468">
        <v>0.80642981012634884</v>
      </c>
      <c r="L468" t="str">
        <f t="shared" si="27"/>
        <v>Nonsmoker</v>
      </c>
      <c r="M468">
        <f>IF(L468="Nonsmoker",VLOOKUP(PolicyholdersSimulation!J468,PremiumTable!$M$4:$P$41,4,FALSE),VLOOKUP(PolicyholdersSimulation!J468,PremiumTable!$S$4:$V$41,4,FALSE))</f>
        <v>90.615055552142564</v>
      </c>
    </row>
    <row r="469" spans="1:13" x14ac:dyDescent="0.3">
      <c r="A469">
        <v>444</v>
      </c>
      <c r="B469">
        <v>30</v>
      </c>
      <c r="C469">
        <f t="shared" si="24"/>
        <v>30</v>
      </c>
      <c r="D469">
        <v>0.64389964763835417</v>
      </c>
      <c r="E469" t="str">
        <f t="shared" si="26"/>
        <v>Nonsmoker</v>
      </c>
      <c r="F469">
        <f>IF(E469="Nonsmoker",VLOOKUP(PolicyholdersSimulation!C469,PremiumTable!$A$4:$D$41,4,FALSE),VLOOKUP(PolicyholdersSimulation!C469,PremiumTable!$G$4:$J$41,4,FALSE))</f>
        <v>98.268933119823288</v>
      </c>
      <c r="H469">
        <v>444</v>
      </c>
      <c r="I469">
        <v>36</v>
      </c>
      <c r="J469">
        <f t="shared" si="25"/>
        <v>36</v>
      </c>
      <c r="K469">
        <v>0.13322526391784451</v>
      </c>
      <c r="L469" t="str">
        <f t="shared" si="27"/>
        <v>Smoker</v>
      </c>
      <c r="M469">
        <f>IF(L469="Nonsmoker",VLOOKUP(PolicyholdersSimulation!J469,PremiumTable!$M$4:$P$41,4,FALSE),VLOOKUP(PolicyholdersSimulation!J469,PremiumTable!$S$4:$V$41,4,FALSE))</f>
        <v>208.90622153136135</v>
      </c>
    </row>
    <row r="470" spans="1:13" x14ac:dyDescent="0.3">
      <c r="A470">
        <v>445</v>
      </c>
      <c r="B470">
        <v>29</v>
      </c>
      <c r="C470">
        <f t="shared" si="24"/>
        <v>29</v>
      </c>
      <c r="D470">
        <v>0.10606341370789674</v>
      </c>
      <c r="E470" t="str">
        <f t="shared" si="26"/>
        <v>Smoker</v>
      </c>
      <c r="F470">
        <f>IF(E470="Nonsmoker",VLOOKUP(PolicyholdersSimulation!C470,PremiumTable!$A$4:$D$41,4,FALSE),VLOOKUP(PolicyholdersSimulation!C470,PremiumTable!$G$4:$J$41,4,FALSE))</f>
        <v>166.3191830281518</v>
      </c>
      <c r="H470">
        <v>445</v>
      </c>
      <c r="I470">
        <v>25</v>
      </c>
      <c r="J470">
        <f t="shared" si="25"/>
        <v>25</v>
      </c>
      <c r="K470">
        <v>0.15806440460464066</v>
      </c>
      <c r="L470" t="str">
        <f t="shared" si="27"/>
        <v>Smoker</v>
      </c>
      <c r="M470">
        <f>IF(L470="Nonsmoker",VLOOKUP(PolicyholdersSimulation!J470,PremiumTable!$M$4:$P$41,4,FALSE),VLOOKUP(PolicyholdersSimulation!J470,PremiumTable!$S$4:$V$41,4,FALSE))</f>
        <v>105.60110967838276</v>
      </c>
    </row>
    <row r="471" spans="1:13" x14ac:dyDescent="0.3">
      <c r="A471">
        <v>446</v>
      </c>
      <c r="B471">
        <v>31</v>
      </c>
      <c r="C471">
        <f t="shared" si="24"/>
        <v>31</v>
      </c>
      <c r="D471">
        <v>0.11601040625321646</v>
      </c>
      <c r="E471" t="str">
        <f t="shared" si="26"/>
        <v>Smoker</v>
      </c>
      <c r="F471">
        <f>IF(E471="Nonsmoker",VLOOKUP(PolicyholdersSimulation!C471,PremiumTable!$A$4:$D$41,4,FALSE),VLOOKUP(PolicyholdersSimulation!C471,PremiumTable!$G$4:$J$41,4,FALSE))</f>
        <v>188.94899391585412</v>
      </c>
      <c r="H471">
        <v>446</v>
      </c>
      <c r="I471">
        <v>27</v>
      </c>
      <c r="J471">
        <f t="shared" si="25"/>
        <v>27</v>
      </c>
      <c r="K471">
        <v>0.26151007817162419</v>
      </c>
      <c r="L471" t="str">
        <f t="shared" si="27"/>
        <v>Nonsmoker</v>
      </c>
      <c r="M471">
        <f>IF(L471="Nonsmoker",VLOOKUP(PolicyholdersSimulation!J471,PremiumTable!$M$4:$P$41,4,FALSE),VLOOKUP(PolicyholdersSimulation!J471,PremiumTable!$S$4:$V$41,4,FALSE))</f>
        <v>80.233973036058572</v>
      </c>
    </row>
    <row r="472" spans="1:13" x14ac:dyDescent="0.3">
      <c r="A472">
        <v>447</v>
      </c>
      <c r="B472">
        <v>31</v>
      </c>
      <c r="C472">
        <f t="shared" si="24"/>
        <v>31</v>
      </c>
      <c r="D472">
        <v>0.84388112966341244</v>
      </c>
      <c r="E472" t="str">
        <f t="shared" si="26"/>
        <v>Nonsmoker</v>
      </c>
      <c r="F472">
        <f>IF(E472="Nonsmoker",VLOOKUP(PolicyholdersSimulation!C472,PremiumTable!$A$4:$D$41,4,FALSE),VLOOKUP(PolicyholdersSimulation!C472,PremiumTable!$G$4:$J$41,4,FALSE))</f>
        <v>100.09400993488123</v>
      </c>
      <c r="H472">
        <v>447</v>
      </c>
      <c r="I472">
        <v>35</v>
      </c>
      <c r="J472">
        <f t="shared" si="25"/>
        <v>35</v>
      </c>
      <c r="K472">
        <v>0.40671588030374617</v>
      </c>
      <c r="L472" t="str">
        <f t="shared" si="27"/>
        <v>Nonsmoker</v>
      </c>
      <c r="M472">
        <f>IF(L472="Nonsmoker",VLOOKUP(PolicyholdersSimulation!J472,PremiumTable!$M$4:$P$41,4,FALSE),VLOOKUP(PolicyholdersSimulation!J472,PremiumTable!$S$4:$V$41,4,FALSE))</f>
        <v>106.37942043914147</v>
      </c>
    </row>
    <row r="473" spans="1:13" x14ac:dyDescent="0.3">
      <c r="A473">
        <v>448</v>
      </c>
      <c r="B473">
        <v>32</v>
      </c>
      <c r="C473">
        <f t="shared" si="24"/>
        <v>32</v>
      </c>
      <c r="D473">
        <v>0.90127132995488923</v>
      </c>
      <c r="E473" t="str">
        <f t="shared" si="26"/>
        <v>Nonsmoker</v>
      </c>
      <c r="F473">
        <f>IF(E473="Nonsmoker",VLOOKUP(PolicyholdersSimulation!C473,PremiumTable!$A$4:$D$41,4,FALSE),VLOOKUP(PolicyholdersSimulation!C473,PremiumTable!$G$4:$J$41,4,FALSE))</f>
        <v>104.12568156832383</v>
      </c>
      <c r="H473">
        <v>448</v>
      </c>
      <c r="I473">
        <v>32</v>
      </c>
      <c r="J473">
        <f t="shared" si="25"/>
        <v>32</v>
      </c>
      <c r="K473">
        <v>0.75684559223030246</v>
      </c>
      <c r="L473" t="str">
        <f t="shared" si="27"/>
        <v>Nonsmoker</v>
      </c>
      <c r="M473">
        <f>IF(L473="Nonsmoker",VLOOKUP(PolicyholdersSimulation!J473,PremiumTable!$M$4:$P$41,4,FALSE),VLOOKUP(PolicyholdersSimulation!J473,PremiumTable!$S$4:$V$41,4,FALSE))</f>
        <v>93.792888886888633</v>
      </c>
    </row>
    <row r="474" spans="1:13" x14ac:dyDescent="0.3">
      <c r="A474">
        <v>449</v>
      </c>
      <c r="B474">
        <v>36</v>
      </c>
      <c r="C474">
        <f t="shared" ref="C474:C537" si="28">IF(B474&lt;num_min,num_min,IF(B474&gt;num_max,num_max,B474))</f>
        <v>36</v>
      </c>
      <c r="D474">
        <v>0.9673676256963285</v>
      </c>
      <c r="E474" t="str">
        <f t="shared" si="26"/>
        <v>Nonsmoker</v>
      </c>
      <c r="F474">
        <f>IF(E474="Nonsmoker",VLOOKUP(PolicyholdersSimulation!C474,PremiumTable!$A$4:$D$41,4,FALSE),VLOOKUP(PolicyholdersSimulation!C474,PremiumTable!$G$4:$J$41,4,FALSE))</f>
        <v>124.81197180033109</v>
      </c>
      <c r="H474">
        <v>449</v>
      </c>
      <c r="I474">
        <v>30</v>
      </c>
      <c r="J474">
        <f t="shared" ref="J474:J537" si="29">IF(I474&lt;num_min,num_min,IF(I474&gt;num_max,num_max,I474))</f>
        <v>30</v>
      </c>
      <c r="K474">
        <v>0.91660010818951643</v>
      </c>
      <c r="L474" t="str">
        <f t="shared" si="27"/>
        <v>Nonsmoker</v>
      </c>
      <c r="M474">
        <f>IF(L474="Nonsmoker",VLOOKUP(PolicyholdersSimulation!J474,PremiumTable!$M$4:$P$41,4,FALSE),VLOOKUP(PolicyholdersSimulation!J474,PremiumTable!$S$4:$V$41,4,FALSE))</f>
        <v>86.835735543592065</v>
      </c>
    </row>
    <row r="475" spans="1:13" x14ac:dyDescent="0.3">
      <c r="A475">
        <v>450</v>
      </c>
      <c r="B475">
        <v>39</v>
      </c>
      <c r="C475">
        <f t="shared" si="28"/>
        <v>39</v>
      </c>
      <c r="D475">
        <v>0.81275279023535285</v>
      </c>
      <c r="E475" t="str">
        <f t="shared" ref="E475:E525" si="30">IF(D475&lt;=0.2,"Smoker","Nonsmoker")</f>
        <v>Nonsmoker</v>
      </c>
      <c r="F475">
        <f>IF(E475="Nonsmoker",VLOOKUP(PolicyholdersSimulation!C475,PremiumTable!$A$4:$D$41,4,FALSE),VLOOKUP(PolicyholdersSimulation!C475,PremiumTable!$G$4:$J$41,4,FALSE))</f>
        <v>147.47819581803472</v>
      </c>
      <c r="H475">
        <v>450</v>
      </c>
      <c r="I475">
        <v>25</v>
      </c>
      <c r="J475">
        <f t="shared" si="29"/>
        <v>25</v>
      </c>
      <c r="K475">
        <v>0.80516539197491499</v>
      </c>
      <c r="L475" t="str">
        <f t="shared" ref="L475:L525" si="31">IF(K475&lt;=0.2,"Smoker","Nonsmoker")</f>
        <v>Nonsmoker</v>
      </c>
      <c r="M475">
        <f>IF(L475="Nonsmoker",VLOOKUP(PolicyholdersSimulation!J475,PremiumTable!$M$4:$P$41,4,FALSE),VLOOKUP(PolicyholdersSimulation!J475,PremiumTable!$S$4:$V$41,4,FALSE))</f>
        <v>78.502715161507126</v>
      </c>
    </row>
    <row r="476" spans="1:13" x14ac:dyDescent="0.3">
      <c r="A476">
        <v>451</v>
      </c>
      <c r="B476">
        <v>36</v>
      </c>
      <c r="C476">
        <f t="shared" si="28"/>
        <v>36</v>
      </c>
      <c r="D476">
        <v>0.58708077377682932</v>
      </c>
      <c r="E476" t="str">
        <f t="shared" si="30"/>
        <v>Nonsmoker</v>
      </c>
      <c r="F476">
        <f>IF(E476="Nonsmoker",VLOOKUP(PolicyholdersSimulation!C476,PremiumTable!$A$4:$D$41,4,FALSE),VLOOKUP(PolicyholdersSimulation!C476,PremiumTable!$G$4:$J$41,4,FALSE))</f>
        <v>124.81197180033109</v>
      </c>
      <c r="H476">
        <v>451</v>
      </c>
      <c r="I476">
        <v>38</v>
      </c>
      <c r="J476">
        <f t="shared" si="29"/>
        <v>38</v>
      </c>
      <c r="K476">
        <v>0.98877336606439414</v>
      </c>
      <c r="L476" t="str">
        <f t="shared" si="31"/>
        <v>Nonsmoker</v>
      </c>
      <c r="M476">
        <f>IF(L476="Nonsmoker",VLOOKUP(PolicyholdersSimulation!J476,PremiumTable!$M$4:$P$41,4,FALSE),VLOOKUP(PolicyholdersSimulation!J476,PremiumTable!$S$4:$V$41,4,FALSE))</f>
        <v>121.28464715590727</v>
      </c>
    </row>
    <row r="477" spans="1:13" x14ac:dyDescent="0.3">
      <c r="A477">
        <v>452</v>
      </c>
      <c r="B477">
        <v>46</v>
      </c>
      <c r="C477">
        <f t="shared" si="28"/>
        <v>46</v>
      </c>
      <c r="D477">
        <v>0.72478384970693421</v>
      </c>
      <c r="E477" t="str">
        <f t="shared" si="30"/>
        <v>Nonsmoker</v>
      </c>
      <c r="F477">
        <f>IF(E477="Nonsmoker",VLOOKUP(PolicyholdersSimulation!C477,PremiumTable!$A$4:$D$41,4,FALSE),VLOOKUP(PolicyholdersSimulation!C477,PremiumTable!$G$4:$J$41,4,FALSE))</f>
        <v>229.57701919641352</v>
      </c>
      <c r="H477">
        <v>452</v>
      </c>
      <c r="I477">
        <v>20</v>
      </c>
      <c r="J477">
        <f t="shared" si="29"/>
        <v>20</v>
      </c>
      <c r="K477">
        <v>0.76984960814525571</v>
      </c>
      <c r="L477" t="str">
        <f t="shared" si="31"/>
        <v>Nonsmoker</v>
      </c>
      <c r="M477">
        <f>IF(L477="Nonsmoker",VLOOKUP(PolicyholdersSimulation!J477,PremiumTable!$M$4:$P$41,4,FALSE),VLOOKUP(PolicyholdersSimulation!J477,PremiumTable!$S$4:$V$41,4,FALSE))</f>
        <v>86.6404678253936</v>
      </c>
    </row>
    <row r="478" spans="1:13" x14ac:dyDescent="0.3">
      <c r="A478">
        <v>453</v>
      </c>
      <c r="B478">
        <v>29</v>
      </c>
      <c r="C478">
        <f t="shared" si="28"/>
        <v>29</v>
      </c>
      <c r="D478">
        <v>0.76164500741287244</v>
      </c>
      <c r="E478" t="str">
        <f t="shared" si="30"/>
        <v>Nonsmoker</v>
      </c>
      <c r="F478">
        <f>IF(E478="Nonsmoker",VLOOKUP(PolicyholdersSimulation!C478,PremiumTable!$A$4:$D$41,4,FALSE),VLOOKUP(PolicyholdersSimulation!C478,PremiumTable!$G$4:$J$41,4,FALSE))</f>
        <v>97.884728277152888</v>
      </c>
      <c r="H478">
        <v>453</v>
      </c>
      <c r="I478">
        <v>41</v>
      </c>
      <c r="J478">
        <f t="shared" si="29"/>
        <v>41</v>
      </c>
      <c r="K478">
        <v>0.22159812889762376</v>
      </c>
      <c r="L478" t="str">
        <f t="shared" si="31"/>
        <v>Nonsmoker</v>
      </c>
      <c r="M478">
        <f>IF(L478="Nonsmoker",VLOOKUP(PolicyholdersSimulation!J478,PremiumTable!$M$4:$P$41,4,FALSE),VLOOKUP(PolicyholdersSimulation!J478,PremiumTable!$S$4:$V$41,4,FALSE))</f>
        <v>140.40115473558592</v>
      </c>
    </row>
    <row r="479" spans="1:13" x14ac:dyDescent="0.3">
      <c r="A479">
        <v>454</v>
      </c>
      <c r="B479">
        <v>42</v>
      </c>
      <c r="C479">
        <f t="shared" si="28"/>
        <v>42</v>
      </c>
      <c r="D479">
        <v>0.31618456261827843</v>
      </c>
      <c r="E479" t="str">
        <f t="shared" si="30"/>
        <v>Nonsmoker</v>
      </c>
      <c r="F479">
        <f>IF(E479="Nonsmoker",VLOOKUP(PolicyholdersSimulation!C479,PremiumTable!$A$4:$D$41,4,FALSE),VLOOKUP(PolicyholdersSimulation!C479,PremiumTable!$G$4:$J$41,4,FALSE))</f>
        <v>177.00343034109287</v>
      </c>
      <c r="H479">
        <v>454</v>
      </c>
      <c r="I479">
        <v>34</v>
      </c>
      <c r="J479">
        <f t="shared" si="29"/>
        <v>34</v>
      </c>
      <c r="K479">
        <v>4.1076379099816984E-3</v>
      </c>
      <c r="L479" t="str">
        <f t="shared" si="31"/>
        <v>Smoker</v>
      </c>
      <c r="M479">
        <f>IF(L479="Nonsmoker",VLOOKUP(PolicyholdersSimulation!J479,PremiumTable!$M$4:$P$41,4,FALSE),VLOOKUP(PolicyholdersSimulation!J479,PremiumTable!$S$4:$V$41,4,FALSE))</f>
        <v>185.08354022082776</v>
      </c>
    </row>
    <row r="480" spans="1:13" x14ac:dyDescent="0.3">
      <c r="A480">
        <v>455</v>
      </c>
      <c r="B480">
        <v>35</v>
      </c>
      <c r="C480">
        <f t="shared" si="28"/>
        <v>35</v>
      </c>
      <c r="D480">
        <v>0.16088997473410915</v>
      </c>
      <c r="E480" t="str">
        <f t="shared" si="30"/>
        <v>Smoker</v>
      </c>
      <c r="F480">
        <f>IF(E480="Nonsmoker",VLOOKUP(PolicyholdersSimulation!C480,PremiumTable!$A$4:$D$41,4,FALSE),VLOOKUP(PolicyholdersSimulation!C480,PremiumTable!$G$4:$J$41,4,FALSE))</f>
        <v>236.41979160208413</v>
      </c>
      <c r="H480">
        <v>455</v>
      </c>
      <c r="I480">
        <v>24</v>
      </c>
      <c r="J480">
        <f t="shared" si="29"/>
        <v>24</v>
      </c>
      <c r="K480">
        <v>0.34790971744606691</v>
      </c>
      <c r="L480" t="str">
        <f t="shared" si="31"/>
        <v>Nonsmoker</v>
      </c>
      <c r="M480">
        <f>IF(L480="Nonsmoker",VLOOKUP(PolicyholdersSimulation!J480,PremiumTable!$M$4:$P$41,4,FALSE),VLOOKUP(PolicyholdersSimulation!J480,PremiumTable!$S$4:$V$41,4,FALSE))</f>
        <v>79.12344116938408</v>
      </c>
    </row>
    <row r="481" spans="1:13" x14ac:dyDescent="0.3">
      <c r="A481">
        <v>456</v>
      </c>
      <c r="B481">
        <v>34</v>
      </c>
      <c r="C481">
        <f t="shared" si="28"/>
        <v>34</v>
      </c>
      <c r="D481">
        <v>0.20253768318045651</v>
      </c>
      <c r="E481" t="str">
        <f t="shared" si="30"/>
        <v>Nonsmoker</v>
      </c>
      <c r="F481">
        <f>IF(E481="Nonsmoker",VLOOKUP(PolicyholdersSimulation!C481,PremiumTable!$A$4:$D$41,4,FALSE),VLOOKUP(PolicyholdersSimulation!C481,PremiumTable!$G$4:$J$41,4,FALSE))</f>
        <v>113.54812871502432</v>
      </c>
      <c r="H481">
        <v>456</v>
      </c>
      <c r="I481">
        <v>27</v>
      </c>
      <c r="J481">
        <f t="shared" si="29"/>
        <v>27</v>
      </c>
      <c r="K481">
        <v>0.38506093502543248</v>
      </c>
      <c r="L481" t="str">
        <f t="shared" si="31"/>
        <v>Nonsmoker</v>
      </c>
      <c r="M481">
        <f>IF(L481="Nonsmoker",VLOOKUP(PolicyholdersSimulation!J481,PremiumTable!$M$4:$P$41,4,FALSE),VLOOKUP(PolicyholdersSimulation!J481,PremiumTable!$S$4:$V$41,4,FALSE))</f>
        <v>80.233973036058572</v>
      </c>
    </row>
    <row r="482" spans="1:13" x14ac:dyDescent="0.3">
      <c r="A482">
        <v>457</v>
      </c>
      <c r="B482">
        <v>39</v>
      </c>
      <c r="C482">
        <f t="shared" si="28"/>
        <v>39</v>
      </c>
      <c r="D482">
        <v>0.85386824843354769</v>
      </c>
      <c r="E482" t="str">
        <f t="shared" si="30"/>
        <v>Nonsmoker</v>
      </c>
      <c r="F482">
        <f>IF(E482="Nonsmoker",VLOOKUP(PolicyholdersSimulation!C482,PremiumTable!$A$4:$D$41,4,FALSE),VLOOKUP(PolicyholdersSimulation!C482,PremiumTable!$G$4:$J$41,4,FALSE))</f>
        <v>147.47819581803472</v>
      </c>
      <c r="H482">
        <v>457</v>
      </c>
      <c r="I482">
        <v>26</v>
      </c>
      <c r="J482">
        <f t="shared" si="29"/>
        <v>26</v>
      </c>
      <c r="K482">
        <v>0.19421031306602143</v>
      </c>
      <c r="L482" t="str">
        <f t="shared" si="31"/>
        <v>Smoker</v>
      </c>
      <c r="M482">
        <f>IF(L482="Nonsmoker",VLOOKUP(PolicyholdersSimulation!J482,PremiumTable!$M$4:$P$41,4,FALSE),VLOOKUP(PolicyholdersSimulation!J482,PremiumTable!$S$4:$V$41,4,FALSE))</f>
        <v>110.73708221593456</v>
      </c>
    </row>
    <row r="483" spans="1:13" x14ac:dyDescent="0.3">
      <c r="A483">
        <v>458</v>
      </c>
      <c r="B483">
        <v>45</v>
      </c>
      <c r="C483">
        <f t="shared" si="28"/>
        <v>45</v>
      </c>
      <c r="D483">
        <v>3.7581516468407017E-2</v>
      </c>
      <c r="E483" t="str">
        <f t="shared" si="30"/>
        <v>Smoker</v>
      </c>
      <c r="F483">
        <f>IF(E483="Nonsmoker",VLOOKUP(PolicyholdersSimulation!C483,PremiumTable!$A$4:$D$41,4,FALSE),VLOOKUP(PolicyholdersSimulation!C483,PremiumTable!$G$4:$J$41,4,FALSE))</f>
        <v>508.30969025300834</v>
      </c>
      <c r="H483">
        <v>458</v>
      </c>
      <c r="I483">
        <v>31</v>
      </c>
      <c r="J483">
        <f t="shared" si="29"/>
        <v>31</v>
      </c>
      <c r="K483">
        <v>0.25174415490411739</v>
      </c>
      <c r="L483" t="str">
        <f t="shared" si="31"/>
        <v>Nonsmoker</v>
      </c>
      <c r="M483">
        <f>IF(L483="Nonsmoker",VLOOKUP(PolicyholdersSimulation!J483,PremiumTable!$M$4:$P$41,4,FALSE),VLOOKUP(PolicyholdersSimulation!J483,PremiumTable!$S$4:$V$41,4,FALSE))</f>
        <v>90.615055552142564</v>
      </c>
    </row>
    <row r="484" spans="1:13" x14ac:dyDescent="0.3">
      <c r="A484">
        <v>459</v>
      </c>
      <c r="B484">
        <v>42</v>
      </c>
      <c r="C484">
        <f t="shared" si="28"/>
        <v>42</v>
      </c>
      <c r="D484">
        <v>0.36352030836879712</v>
      </c>
      <c r="E484" t="str">
        <f t="shared" si="30"/>
        <v>Nonsmoker</v>
      </c>
      <c r="F484">
        <f>IF(E484="Nonsmoker",VLOOKUP(PolicyholdersSimulation!C484,PremiumTable!$A$4:$D$41,4,FALSE),VLOOKUP(PolicyholdersSimulation!C484,PremiumTable!$G$4:$J$41,4,FALSE))</f>
        <v>177.00343034109287</v>
      </c>
      <c r="H484">
        <v>459</v>
      </c>
      <c r="I484">
        <v>35</v>
      </c>
      <c r="J484">
        <f t="shared" si="29"/>
        <v>35</v>
      </c>
      <c r="K484">
        <v>0.9885101472534662</v>
      </c>
      <c r="L484" t="str">
        <f t="shared" si="31"/>
        <v>Nonsmoker</v>
      </c>
      <c r="M484">
        <f>IF(L484="Nonsmoker",VLOOKUP(PolicyholdersSimulation!J484,PremiumTable!$M$4:$P$41,4,FALSE),VLOOKUP(PolicyholdersSimulation!J484,PremiumTable!$S$4:$V$41,4,FALSE))</f>
        <v>106.37942043914147</v>
      </c>
    </row>
    <row r="485" spans="1:13" x14ac:dyDescent="0.3">
      <c r="A485">
        <v>460</v>
      </c>
      <c r="B485">
        <v>30</v>
      </c>
      <c r="C485">
        <f t="shared" si="28"/>
        <v>30</v>
      </c>
      <c r="D485">
        <v>0.92677708825309479</v>
      </c>
      <c r="E485" t="str">
        <f t="shared" si="30"/>
        <v>Nonsmoker</v>
      </c>
      <c r="F485">
        <f>IF(E485="Nonsmoker",VLOOKUP(PolicyholdersSimulation!C485,PremiumTable!$A$4:$D$41,4,FALSE),VLOOKUP(PolicyholdersSimulation!C485,PremiumTable!$G$4:$J$41,4,FALSE))</f>
        <v>98.268933119823288</v>
      </c>
      <c r="H485">
        <v>460</v>
      </c>
      <c r="I485">
        <v>35</v>
      </c>
      <c r="J485">
        <f t="shared" si="29"/>
        <v>35</v>
      </c>
      <c r="K485">
        <v>8.5888769428781209E-2</v>
      </c>
      <c r="L485" t="str">
        <f t="shared" si="31"/>
        <v>Smoker</v>
      </c>
      <c r="M485">
        <f>IF(L485="Nonsmoker",VLOOKUP(PolicyholdersSimulation!J485,PremiumTable!$M$4:$P$41,4,FALSE),VLOOKUP(PolicyholdersSimulation!J485,PremiumTable!$S$4:$V$41,4,FALSE))</f>
        <v>196.78106952359585</v>
      </c>
    </row>
    <row r="486" spans="1:13" x14ac:dyDescent="0.3">
      <c r="A486">
        <v>461</v>
      </c>
      <c r="B486">
        <v>34</v>
      </c>
      <c r="C486">
        <f t="shared" si="28"/>
        <v>34</v>
      </c>
      <c r="D486">
        <v>0.89212213166507537</v>
      </c>
      <c r="E486" t="str">
        <f t="shared" si="30"/>
        <v>Nonsmoker</v>
      </c>
      <c r="F486">
        <f>IF(E486="Nonsmoker",VLOOKUP(PolicyholdersSimulation!C486,PremiumTable!$A$4:$D$41,4,FALSE),VLOOKUP(PolicyholdersSimulation!C486,PremiumTable!$G$4:$J$41,4,FALSE))</f>
        <v>113.54812871502432</v>
      </c>
      <c r="H486">
        <v>461</v>
      </c>
      <c r="I486">
        <v>31</v>
      </c>
      <c r="J486">
        <f t="shared" si="29"/>
        <v>31</v>
      </c>
      <c r="K486">
        <v>0.14647375688511066</v>
      </c>
      <c r="L486" t="str">
        <f t="shared" si="31"/>
        <v>Smoker</v>
      </c>
      <c r="M486">
        <f>IF(L486="Nonsmoker",VLOOKUP(PolicyholdersSimulation!J486,PremiumTable!$M$4:$P$41,4,FALSE),VLOOKUP(PolicyholdersSimulation!J486,PremiumTable!$S$4:$V$41,4,FALSE))</f>
        <v>151.581657423346</v>
      </c>
    </row>
    <row r="487" spans="1:13" x14ac:dyDescent="0.3">
      <c r="A487">
        <v>462</v>
      </c>
      <c r="B487">
        <v>41</v>
      </c>
      <c r="C487">
        <f t="shared" si="28"/>
        <v>41</v>
      </c>
      <c r="D487">
        <v>0.46898573012658062</v>
      </c>
      <c r="E487" t="str">
        <f t="shared" si="30"/>
        <v>Nonsmoker</v>
      </c>
      <c r="F487">
        <f>IF(E487="Nonsmoker",VLOOKUP(PolicyholdersSimulation!C487,PremiumTable!$A$4:$D$41,4,FALSE),VLOOKUP(PolicyholdersSimulation!C487,PremiumTable!$G$4:$J$41,4,FALSE))</f>
        <v>167.10777343661104</v>
      </c>
      <c r="H487">
        <v>462</v>
      </c>
      <c r="I487">
        <v>31</v>
      </c>
      <c r="J487">
        <f t="shared" si="29"/>
        <v>31</v>
      </c>
      <c r="K487">
        <v>0.69894458882030464</v>
      </c>
      <c r="L487" t="str">
        <f t="shared" si="31"/>
        <v>Nonsmoker</v>
      </c>
      <c r="M487">
        <f>IF(L487="Nonsmoker",VLOOKUP(PolicyholdersSimulation!J487,PremiumTable!$M$4:$P$41,4,FALSE),VLOOKUP(PolicyholdersSimulation!J487,PremiumTable!$S$4:$V$41,4,FALSE))</f>
        <v>90.615055552142564</v>
      </c>
    </row>
    <row r="488" spans="1:13" x14ac:dyDescent="0.3">
      <c r="A488">
        <v>463</v>
      </c>
      <c r="B488">
        <v>34</v>
      </c>
      <c r="C488">
        <f t="shared" si="28"/>
        <v>34</v>
      </c>
      <c r="D488">
        <v>0.64643551116037978</v>
      </c>
      <c r="E488" t="str">
        <f t="shared" si="30"/>
        <v>Nonsmoker</v>
      </c>
      <c r="F488">
        <f>IF(E488="Nonsmoker",VLOOKUP(PolicyholdersSimulation!C488,PremiumTable!$A$4:$D$41,4,FALSE),VLOOKUP(PolicyholdersSimulation!C488,PremiumTable!$G$4:$J$41,4,FALSE))</f>
        <v>113.54812871502432</v>
      </c>
      <c r="H488">
        <v>463</v>
      </c>
      <c r="I488">
        <v>29</v>
      </c>
      <c r="J488">
        <f t="shared" si="29"/>
        <v>29</v>
      </c>
      <c r="K488">
        <v>0.69372582737867527</v>
      </c>
      <c r="L488" t="str">
        <f t="shared" si="31"/>
        <v>Nonsmoker</v>
      </c>
      <c r="M488">
        <f>IF(L488="Nonsmoker",VLOOKUP(PolicyholdersSimulation!J488,PremiumTable!$M$4:$P$41,4,FALSE),VLOOKUP(PolicyholdersSimulation!J488,PremiumTable!$S$4:$V$41,4,FALSE))</f>
        <v>84.42413832124069</v>
      </c>
    </row>
    <row r="489" spans="1:13" x14ac:dyDescent="0.3">
      <c r="A489">
        <v>464</v>
      </c>
      <c r="B489">
        <v>36</v>
      </c>
      <c r="C489">
        <f t="shared" si="28"/>
        <v>36</v>
      </c>
      <c r="D489">
        <v>0.6618087687750055</v>
      </c>
      <c r="E489" t="str">
        <f t="shared" si="30"/>
        <v>Nonsmoker</v>
      </c>
      <c r="F489">
        <f>IF(E489="Nonsmoker",VLOOKUP(PolicyholdersSimulation!C489,PremiumTable!$A$4:$D$41,4,FALSE),VLOOKUP(PolicyholdersSimulation!C489,PremiumTable!$G$4:$J$41,4,FALSE))</f>
        <v>124.81197180033109</v>
      </c>
      <c r="H489">
        <v>464</v>
      </c>
      <c r="I489">
        <v>27</v>
      </c>
      <c r="J489">
        <f t="shared" si="29"/>
        <v>27</v>
      </c>
      <c r="K489">
        <v>0.62460776460386858</v>
      </c>
      <c r="L489" t="str">
        <f t="shared" si="31"/>
        <v>Nonsmoker</v>
      </c>
      <c r="M489">
        <f>IF(L489="Nonsmoker",VLOOKUP(PolicyholdersSimulation!J489,PremiumTable!$M$4:$P$41,4,FALSE),VLOOKUP(PolicyholdersSimulation!J489,PremiumTable!$S$4:$V$41,4,FALSE))</f>
        <v>80.233973036058572</v>
      </c>
    </row>
    <row r="490" spans="1:13" x14ac:dyDescent="0.3">
      <c r="A490">
        <v>465</v>
      </c>
      <c r="B490">
        <v>44</v>
      </c>
      <c r="C490">
        <f t="shared" si="28"/>
        <v>44</v>
      </c>
      <c r="D490">
        <v>0.97117465514311074</v>
      </c>
      <c r="E490" t="str">
        <f t="shared" si="30"/>
        <v>Nonsmoker</v>
      </c>
      <c r="F490">
        <f>IF(E490="Nonsmoker",VLOOKUP(PolicyholdersSimulation!C490,PremiumTable!$A$4:$D$41,4,FALSE),VLOOKUP(PolicyholdersSimulation!C490,PremiumTable!$G$4:$J$41,4,FALSE))</f>
        <v>199.52896401205433</v>
      </c>
      <c r="H490">
        <v>465</v>
      </c>
      <c r="I490">
        <v>25</v>
      </c>
      <c r="J490">
        <f t="shared" si="29"/>
        <v>25</v>
      </c>
      <c r="K490">
        <v>0.94497256785466777</v>
      </c>
      <c r="L490" t="str">
        <f t="shared" si="31"/>
        <v>Nonsmoker</v>
      </c>
      <c r="M490">
        <f>IF(L490="Nonsmoker",VLOOKUP(PolicyholdersSimulation!J490,PremiumTable!$M$4:$P$41,4,FALSE),VLOOKUP(PolicyholdersSimulation!J490,PremiumTable!$S$4:$V$41,4,FALSE))</f>
        <v>78.502715161507126</v>
      </c>
    </row>
    <row r="491" spans="1:13" x14ac:dyDescent="0.3">
      <c r="A491">
        <v>466</v>
      </c>
      <c r="B491">
        <v>39</v>
      </c>
      <c r="C491">
        <f t="shared" si="28"/>
        <v>39</v>
      </c>
      <c r="D491">
        <v>0.17976151625427328</v>
      </c>
      <c r="E491" t="str">
        <f t="shared" si="30"/>
        <v>Smoker</v>
      </c>
      <c r="F491">
        <f>IF(E491="Nonsmoker",VLOOKUP(PolicyholdersSimulation!C491,PremiumTable!$A$4:$D$41,4,FALSE),VLOOKUP(PolicyholdersSimulation!C491,PremiumTable!$G$4:$J$41,4,FALSE))</f>
        <v>303.5263187253961</v>
      </c>
      <c r="H491">
        <v>466</v>
      </c>
      <c r="I491">
        <v>20</v>
      </c>
      <c r="J491">
        <f t="shared" si="29"/>
        <v>20</v>
      </c>
      <c r="K491">
        <v>0.70711459513639841</v>
      </c>
      <c r="L491" t="str">
        <f t="shared" si="31"/>
        <v>Nonsmoker</v>
      </c>
      <c r="M491">
        <f>IF(L491="Nonsmoker",VLOOKUP(PolicyholdersSimulation!J491,PremiumTable!$M$4:$P$41,4,FALSE),VLOOKUP(PolicyholdersSimulation!J491,PremiumTable!$S$4:$V$41,4,FALSE))</f>
        <v>86.6404678253936</v>
      </c>
    </row>
    <row r="492" spans="1:13" x14ac:dyDescent="0.3">
      <c r="A492">
        <v>467</v>
      </c>
      <c r="B492">
        <v>42</v>
      </c>
      <c r="C492">
        <f t="shared" si="28"/>
        <v>42</v>
      </c>
      <c r="D492">
        <v>0.69844971180075122</v>
      </c>
      <c r="E492" t="str">
        <f t="shared" si="30"/>
        <v>Nonsmoker</v>
      </c>
      <c r="F492">
        <f>IF(E492="Nonsmoker",VLOOKUP(PolicyholdersSimulation!C492,PremiumTable!$A$4:$D$41,4,FALSE),VLOOKUP(PolicyholdersSimulation!C492,PremiumTable!$G$4:$J$41,4,FALSE))</f>
        <v>177.00343034109287</v>
      </c>
      <c r="H492">
        <v>467</v>
      </c>
      <c r="I492">
        <v>29</v>
      </c>
      <c r="J492">
        <f t="shared" si="29"/>
        <v>29</v>
      </c>
      <c r="K492">
        <v>0.45999968828072957</v>
      </c>
      <c r="L492" t="str">
        <f t="shared" si="31"/>
        <v>Nonsmoker</v>
      </c>
      <c r="M492">
        <f>IF(L492="Nonsmoker",VLOOKUP(PolicyholdersSimulation!J492,PremiumTable!$M$4:$P$41,4,FALSE),VLOOKUP(PolicyholdersSimulation!J492,PremiumTable!$S$4:$V$41,4,FALSE))</f>
        <v>84.42413832124069</v>
      </c>
    </row>
    <row r="493" spans="1:13" x14ac:dyDescent="0.3">
      <c r="A493">
        <v>468</v>
      </c>
      <c r="B493">
        <v>37</v>
      </c>
      <c r="C493">
        <f t="shared" si="28"/>
        <v>37</v>
      </c>
      <c r="D493">
        <v>0.32453323325443206</v>
      </c>
      <c r="E493" t="str">
        <f t="shared" si="30"/>
        <v>Nonsmoker</v>
      </c>
      <c r="F493">
        <f>IF(E493="Nonsmoker",VLOOKUP(PolicyholdersSimulation!C493,PremiumTable!$A$4:$D$41,4,FALSE),VLOOKUP(PolicyholdersSimulation!C493,PremiumTable!$G$4:$J$41,4,FALSE))</f>
        <v>131.04073052327638</v>
      </c>
      <c r="H493">
        <v>468</v>
      </c>
      <c r="I493">
        <v>32</v>
      </c>
      <c r="J493">
        <f t="shared" si="29"/>
        <v>32</v>
      </c>
      <c r="K493">
        <v>0.16443465732143869</v>
      </c>
      <c r="L493" t="str">
        <f t="shared" si="31"/>
        <v>Smoker</v>
      </c>
      <c r="M493">
        <f>IF(L493="Nonsmoker",VLOOKUP(PolicyholdersSimulation!J493,PremiumTable!$M$4:$P$41,4,FALSE),VLOOKUP(PolicyholdersSimulation!J493,PremiumTable!$S$4:$V$41,4,FALSE))</f>
        <v>162.75723971023768</v>
      </c>
    </row>
    <row r="494" spans="1:13" x14ac:dyDescent="0.3">
      <c r="A494">
        <v>469</v>
      </c>
      <c r="B494">
        <v>37</v>
      </c>
      <c r="C494">
        <f t="shared" si="28"/>
        <v>37</v>
      </c>
      <c r="D494">
        <v>0.61499058161557174</v>
      </c>
      <c r="E494" t="str">
        <f t="shared" si="30"/>
        <v>Nonsmoker</v>
      </c>
      <c r="F494">
        <f>IF(E494="Nonsmoker",VLOOKUP(PolicyholdersSimulation!C494,PremiumTable!$A$4:$D$41,4,FALSE),VLOOKUP(PolicyholdersSimulation!C494,PremiumTable!$G$4:$J$41,4,FALSE))</f>
        <v>131.04073052327638</v>
      </c>
      <c r="H494">
        <v>469</v>
      </c>
      <c r="I494">
        <v>27</v>
      </c>
      <c r="J494">
        <f t="shared" si="29"/>
        <v>27</v>
      </c>
      <c r="K494">
        <v>0.93842347827571948</v>
      </c>
      <c r="L494" t="str">
        <f t="shared" si="31"/>
        <v>Nonsmoker</v>
      </c>
      <c r="M494">
        <f>IF(L494="Nonsmoker",VLOOKUP(PolicyholdersSimulation!J494,PremiumTable!$M$4:$P$41,4,FALSE),VLOOKUP(PolicyholdersSimulation!J494,PremiumTable!$S$4:$V$41,4,FALSE))</f>
        <v>80.233973036058572</v>
      </c>
    </row>
    <row r="495" spans="1:13" x14ac:dyDescent="0.3">
      <c r="A495">
        <v>470</v>
      </c>
      <c r="B495">
        <v>46</v>
      </c>
      <c r="C495">
        <f t="shared" si="28"/>
        <v>46</v>
      </c>
      <c r="D495">
        <v>0.82679169833862864</v>
      </c>
      <c r="E495" t="str">
        <f t="shared" si="30"/>
        <v>Nonsmoker</v>
      </c>
      <c r="F495">
        <f>IF(E495="Nonsmoker",VLOOKUP(PolicyholdersSimulation!C495,PremiumTable!$A$4:$D$41,4,FALSE),VLOOKUP(PolicyholdersSimulation!C495,PremiumTable!$G$4:$J$41,4,FALSE))</f>
        <v>229.57701919641352</v>
      </c>
      <c r="H495">
        <v>470</v>
      </c>
      <c r="I495">
        <v>30</v>
      </c>
      <c r="J495">
        <f t="shared" si="29"/>
        <v>30</v>
      </c>
      <c r="K495">
        <v>0.72719449318021245</v>
      </c>
      <c r="L495" t="str">
        <f t="shared" si="31"/>
        <v>Nonsmoker</v>
      </c>
      <c r="M495">
        <f>IF(L495="Nonsmoker",VLOOKUP(PolicyholdersSimulation!J495,PremiumTable!$M$4:$P$41,4,FALSE),VLOOKUP(PolicyholdersSimulation!J495,PremiumTable!$S$4:$V$41,4,FALSE))</f>
        <v>86.835735543592065</v>
      </c>
    </row>
    <row r="496" spans="1:13" x14ac:dyDescent="0.3">
      <c r="A496">
        <v>471</v>
      </c>
      <c r="B496">
        <v>33</v>
      </c>
      <c r="C496">
        <f t="shared" si="28"/>
        <v>33</v>
      </c>
      <c r="D496">
        <v>0.13890444337301955</v>
      </c>
      <c r="E496" t="str">
        <f t="shared" si="30"/>
        <v>Smoker</v>
      </c>
      <c r="F496">
        <f>IF(E496="Nonsmoker",VLOOKUP(PolicyholdersSimulation!C496,PremiumTable!$A$4:$D$41,4,FALSE),VLOOKUP(PolicyholdersSimulation!C496,PremiumTable!$G$4:$J$41,4,FALSE))</f>
        <v>213.66592257449349</v>
      </c>
      <c r="H496">
        <v>471</v>
      </c>
      <c r="I496">
        <v>35</v>
      </c>
      <c r="J496">
        <f t="shared" si="29"/>
        <v>35</v>
      </c>
      <c r="K496">
        <v>0.14580064570296813</v>
      </c>
      <c r="L496" t="str">
        <f t="shared" si="31"/>
        <v>Smoker</v>
      </c>
      <c r="M496">
        <f>IF(L496="Nonsmoker",VLOOKUP(PolicyholdersSimulation!J496,PremiumTable!$M$4:$P$41,4,FALSE),VLOOKUP(PolicyholdersSimulation!J496,PremiumTable!$S$4:$V$41,4,FALSE))</f>
        <v>196.78106952359585</v>
      </c>
    </row>
    <row r="497" spans="1:13" x14ac:dyDescent="0.3">
      <c r="A497">
        <v>472</v>
      </c>
      <c r="B497">
        <v>40</v>
      </c>
      <c r="C497">
        <f t="shared" si="28"/>
        <v>40</v>
      </c>
      <c r="D497">
        <v>0.76621052723523109</v>
      </c>
      <c r="E497" t="str">
        <f t="shared" si="30"/>
        <v>Nonsmoker</v>
      </c>
      <c r="F497">
        <f>IF(E497="Nonsmoker",VLOOKUP(PolicyholdersSimulation!C497,PremiumTable!$A$4:$D$41,4,FALSE),VLOOKUP(PolicyholdersSimulation!C497,PremiumTable!$G$4:$J$41,4,FALSE))</f>
        <v>157.14195579270111</v>
      </c>
      <c r="H497">
        <v>472</v>
      </c>
      <c r="I497">
        <v>28</v>
      </c>
      <c r="J497">
        <f t="shared" si="29"/>
        <v>28</v>
      </c>
      <c r="K497">
        <v>0.87497932756215857</v>
      </c>
      <c r="L497" t="str">
        <f t="shared" si="31"/>
        <v>Nonsmoker</v>
      </c>
      <c r="M497">
        <f>IF(L497="Nonsmoker",VLOOKUP(PolicyholdersSimulation!J497,PremiumTable!$M$4:$P$41,4,FALSE),VLOOKUP(PolicyholdersSimulation!J497,PremiumTable!$S$4:$V$41,4,FALSE))</f>
        <v>81.666348165376135</v>
      </c>
    </row>
    <row r="498" spans="1:13" x14ac:dyDescent="0.3">
      <c r="A498">
        <v>473</v>
      </c>
      <c r="B498">
        <v>32</v>
      </c>
      <c r="C498">
        <f t="shared" si="28"/>
        <v>32</v>
      </c>
      <c r="D498">
        <v>0.28203998161344779</v>
      </c>
      <c r="E498" t="str">
        <f t="shared" si="30"/>
        <v>Nonsmoker</v>
      </c>
      <c r="F498">
        <f>IF(E498="Nonsmoker",VLOOKUP(PolicyholdersSimulation!C498,PremiumTable!$A$4:$D$41,4,FALSE),VLOOKUP(PolicyholdersSimulation!C498,PremiumTable!$G$4:$J$41,4,FALSE))</f>
        <v>104.12568156832383</v>
      </c>
      <c r="H498">
        <v>473</v>
      </c>
      <c r="I498">
        <v>28</v>
      </c>
      <c r="J498">
        <f t="shared" si="29"/>
        <v>28</v>
      </c>
      <c r="K498">
        <v>8.2638925346609216E-2</v>
      </c>
      <c r="L498" t="str">
        <f t="shared" si="31"/>
        <v>Smoker</v>
      </c>
      <c r="M498">
        <f>IF(L498="Nonsmoker",VLOOKUP(PolicyholdersSimulation!J498,PremiumTable!$M$4:$P$41,4,FALSE),VLOOKUP(PolicyholdersSimulation!J498,PremiumTable!$S$4:$V$41,4,FALSE))</f>
        <v>123.88486180420303</v>
      </c>
    </row>
    <row r="499" spans="1:13" x14ac:dyDescent="0.3">
      <c r="A499">
        <v>474</v>
      </c>
      <c r="B499">
        <v>29</v>
      </c>
      <c r="C499">
        <f t="shared" si="28"/>
        <v>29</v>
      </c>
      <c r="D499">
        <v>0.17135779037305598</v>
      </c>
      <c r="E499" t="str">
        <f t="shared" si="30"/>
        <v>Smoker</v>
      </c>
      <c r="F499">
        <f>IF(E499="Nonsmoker",VLOOKUP(PolicyholdersSimulation!C499,PremiumTable!$A$4:$D$41,4,FALSE),VLOOKUP(PolicyholdersSimulation!C499,PremiumTable!$G$4:$J$41,4,FALSE))</f>
        <v>166.3191830281518</v>
      </c>
      <c r="H499">
        <v>474</v>
      </c>
      <c r="I499">
        <v>27</v>
      </c>
      <c r="J499">
        <f t="shared" si="29"/>
        <v>27</v>
      </c>
      <c r="K499">
        <v>0.32460939193173377</v>
      </c>
      <c r="L499" t="str">
        <f t="shared" si="31"/>
        <v>Nonsmoker</v>
      </c>
      <c r="M499">
        <f>IF(L499="Nonsmoker",VLOOKUP(PolicyholdersSimulation!J499,PremiumTable!$M$4:$P$41,4,FALSE),VLOOKUP(PolicyholdersSimulation!J499,PremiumTable!$S$4:$V$41,4,FALSE))</f>
        <v>80.233973036058572</v>
      </c>
    </row>
    <row r="500" spans="1:13" x14ac:dyDescent="0.3">
      <c r="A500">
        <v>475</v>
      </c>
      <c r="B500">
        <v>37</v>
      </c>
      <c r="C500">
        <f t="shared" si="28"/>
        <v>37</v>
      </c>
      <c r="D500">
        <v>0.76871033958185819</v>
      </c>
      <c r="E500" t="str">
        <f t="shared" si="30"/>
        <v>Nonsmoker</v>
      </c>
      <c r="F500">
        <f>IF(E500="Nonsmoker",VLOOKUP(PolicyholdersSimulation!C500,PremiumTable!$A$4:$D$41,4,FALSE),VLOOKUP(PolicyholdersSimulation!C500,PremiumTable!$G$4:$J$41,4,FALSE))</f>
        <v>131.04073052327638</v>
      </c>
      <c r="H500">
        <v>475</v>
      </c>
      <c r="I500">
        <v>30</v>
      </c>
      <c r="J500">
        <f t="shared" si="29"/>
        <v>30</v>
      </c>
      <c r="K500">
        <v>0.12953287671502844</v>
      </c>
      <c r="L500" t="str">
        <f t="shared" si="31"/>
        <v>Smoker</v>
      </c>
      <c r="M500">
        <f>IF(L500="Nonsmoker",VLOOKUP(PolicyholdersSimulation!J500,PremiumTable!$M$4:$P$41,4,FALSE),VLOOKUP(PolicyholdersSimulation!J500,PremiumTable!$S$4:$V$41,4,FALSE))</f>
        <v>141.98069535695544</v>
      </c>
    </row>
    <row r="501" spans="1:13" x14ac:dyDescent="0.3">
      <c r="A501">
        <v>476</v>
      </c>
      <c r="B501">
        <v>35</v>
      </c>
      <c r="C501">
        <f t="shared" si="28"/>
        <v>35</v>
      </c>
      <c r="D501">
        <v>0.10308899586739328</v>
      </c>
      <c r="E501" t="str">
        <f t="shared" si="30"/>
        <v>Smoker</v>
      </c>
      <c r="F501">
        <f>IF(E501="Nonsmoker",VLOOKUP(PolicyholdersSimulation!C501,PremiumTable!$A$4:$D$41,4,FALSE),VLOOKUP(PolicyholdersSimulation!C501,PremiumTable!$G$4:$J$41,4,FALSE))</f>
        <v>236.41979160208413</v>
      </c>
      <c r="H501">
        <v>476</v>
      </c>
      <c r="I501">
        <v>31</v>
      </c>
      <c r="J501">
        <f t="shared" si="29"/>
        <v>31</v>
      </c>
      <c r="K501">
        <v>0.96375997265454372</v>
      </c>
      <c r="L501" t="str">
        <f t="shared" si="31"/>
        <v>Nonsmoker</v>
      </c>
      <c r="M501">
        <f>IF(L501="Nonsmoker",VLOOKUP(PolicyholdersSimulation!J501,PremiumTable!$M$4:$P$41,4,FALSE),VLOOKUP(PolicyholdersSimulation!J501,PremiumTable!$S$4:$V$41,4,FALSE))</f>
        <v>90.615055552142564</v>
      </c>
    </row>
    <row r="502" spans="1:13" x14ac:dyDescent="0.3">
      <c r="A502">
        <v>477</v>
      </c>
      <c r="B502">
        <v>29</v>
      </c>
      <c r="C502">
        <f t="shared" si="28"/>
        <v>29</v>
      </c>
      <c r="D502">
        <v>0.23199391804418956</v>
      </c>
      <c r="E502" t="str">
        <f t="shared" si="30"/>
        <v>Nonsmoker</v>
      </c>
      <c r="F502">
        <f>IF(E502="Nonsmoker",VLOOKUP(PolicyholdersSimulation!C502,PremiumTable!$A$4:$D$41,4,FALSE),VLOOKUP(PolicyholdersSimulation!C502,PremiumTable!$G$4:$J$41,4,FALSE))</f>
        <v>97.884728277152888</v>
      </c>
      <c r="H502">
        <v>477</v>
      </c>
      <c r="I502">
        <v>29</v>
      </c>
      <c r="J502">
        <f t="shared" si="29"/>
        <v>29</v>
      </c>
      <c r="K502">
        <v>0.56424666717348415</v>
      </c>
      <c r="L502" t="str">
        <f t="shared" si="31"/>
        <v>Nonsmoker</v>
      </c>
      <c r="M502">
        <f>IF(L502="Nonsmoker",VLOOKUP(PolicyholdersSimulation!J502,PremiumTable!$M$4:$P$41,4,FALSE),VLOOKUP(PolicyholdersSimulation!J502,PremiumTable!$S$4:$V$41,4,FALSE))</f>
        <v>84.42413832124069</v>
      </c>
    </row>
    <row r="503" spans="1:13" x14ac:dyDescent="0.3">
      <c r="A503">
        <v>478</v>
      </c>
      <c r="B503">
        <v>27</v>
      </c>
      <c r="C503">
        <f t="shared" si="28"/>
        <v>27</v>
      </c>
      <c r="D503">
        <v>2.3726244618932357E-2</v>
      </c>
      <c r="E503" t="str">
        <f t="shared" si="30"/>
        <v>Smoker</v>
      </c>
      <c r="F503">
        <f>IF(E503="Nonsmoker",VLOOKUP(PolicyholdersSimulation!C503,PremiumTable!$A$4:$D$41,4,FALSE),VLOOKUP(PolicyholdersSimulation!C503,PremiumTable!$G$4:$J$41,4,FALSE))</f>
        <v>151.4146644369799</v>
      </c>
      <c r="H503">
        <v>478</v>
      </c>
      <c r="I503">
        <v>31</v>
      </c>
      <c r="J503">
        <f t="shared" si="29"/>
        <v>31</v>
      </c>
      <c r="K503">
        <v>0.67299798799277488</v>
      </c>
      <c r="L503" t="str">
        <f t="shared" si="31"/>
        <v>Nonsmoker</v>
      </c>
      <c r="M503">
        <f>IF(L503="Nonsmoker",VLOOKUP(PolicyholdersSimulation!J503,PremiumTable!$M$4:$P$41,4,FALSE),VLOOKUP(PolicyholdersSimulation!J503,PremiumTable!$S$4:$V$41,4,FALSE))</f>
        <v>90.615055552142564</v>
      </c>
    </row>
    <row r="504" spans="1:13" x14ac:dyDescent="0.3">
      <c r="A504">
        <v>479</v>
      </c>
      <c r="B504">
        <v>40</v>
      </c>
      <c r="C504">
        <f t="shared" si="28"/>
        <v>40</v>
      </c>
      <c r="D504">
        <v>0.44708307437852191</v>
      </c>
      <c r="E504" t="str">
        <f t="shared" si="30"/>
        <v>Nonsmoker</v>
      </c>
      <c r="F504">
        <f>IF(E504="Nonsmoker",VLOOKUP(PolicyholdersSimulation!C504,PremiumTable!$A$4:$D$41,4,FALSE),VLOOKUP(PolicyholdersSimulation!C504,PremiumTable!$G$4:$J$41,4,FALSE))</f>
        <v>157.14195579270111</v>
      </c>
      <c r="H504">
        <v>479</v>
      </c>
      <c r="I504">
        <v>23</v>
      </c>
      <c r="J504">
        <f t="shared" si="29"/>
        <v>23</v>
      </c>
      <c r="K504">
        <v>0.34437533581673163</v>
      </c>
      <c r="L504" t="str">
        <f t="shared" si="31"/>
        <v>Nonsmoker</v>
      </c>
      <c r="M504">
        <f>IF(L504="Nonsmoker",VLOOKUP(PolicyholdersSimulation!J504,PremiumTable!$M$4:$P$41,4,FALSE),VLOOKUP(PolicyholdersSimulation!J504,PremiumTable!$S$4:$V$41,4,FALSE))</f>
        <v>80.885782895186097</v>
      </c>
    </row>
    <row r="505" spans="1:13" x14ac:dyDescent="0.3">
      <c r="A505">
        <v>480</v>
      </c>
      <c r="B505">
        <v>37</v>
      </c>
      <c r="C505">
        <f t="shared" si="28"/>
        <v>37</v>
      </c>
      <c r="D505">
        <v>0.37808300182735999</v>
      </c>
      <c r="E505" t="str">
        <f t="shared" si="30"/>
        <v>Nonsmoker</v>
      </c>
      <c r="F505">
        <f>IF(E505="Nonsmoker",VLOOKUP(PolicyholdersSimulation!C505,PremiumTable!$A$4:$D$41,4,FALSE),VLOOKUP(PolicyholdersSimulation!C505,PremiumTable!$G$4:$J$41,4,FALSE))</f>
        <v>131.04073052327638</v>
      </c>
      <c r="H505">
        <v>480</v>
      </c>
      <c r="I505">
        <v>26</v>
      </c>
      <c r="J505">
        <f t="shared" si="29"/>
        <v>26</v>
      </c>
      <c r="K505">
        <v>0.76085582204814661</v>
      </c>
      <c r="L505" t="str">
        <f t="shared" si="31"/>
        <v>Nonsmoker</v>
      </c>
      <c r="M505">
        <f>IF(L505="Nonsmoker",VLOOKUP(PolicyholdersSimulation!J505,PremiumTable!$M$4:$P$41,4,FALSE),VLOOKUP(PolicyholdersSimulation!J505,PremiumTable!$S$4:$V$41,4,FALSE))</f>
        <v>78.904303039663105</v>
      </c>
    </row>
    <row r="506" spans="1:13" x14ac:dyDescent="0.3">
      <c r="A506">
        <v>481</v>
      </c>
      <c r="B506">
        <v>40</v>
      </c>
      <c r="C506">
        <f t="shared" si="28"/>
        <v>40</v>
      </c>
      <c r="D506">
        <v>0.45840084354403798</v>
      </c>
      <c r="E506" t="str">
        <f t="shared" si="30"/>
        <v>Nonsmoker</v>
      </c>
      <c r="F506">
        <f>IF(E506="Nonsmoker",VLOOKUP(PolicyholdersSimulation!C506,PremiumTable!$A$4:$D$41,4,FALSE),VLOOKUP(PolicyholdersSimulation!C506,PremiumTable!$G$4:$J$41,4,FALSE))</f>
        <v>157.14195579270111</v>
      </c>
      <c r="H506">
        <v>481</v>
      </c>
      <c r="I506">
        <v>27</v>
      </c>
      <c r="J506">
        <f t="shared" si="29"/>
        <v>27</v>
      </c>
      <c r="K506">
        <v>0.1126444401127068</v>
      </c>
      <c r="L506" t="str">
        <f t="shared" si="31"/>
        <v>Smoker</v>
      </c>
      <c r="M506">
        <f>IF(L506="Nonsmoker",VLOOKUP(PolicyholdersSimulation!J506,PremiumTable!$M$4:$P$41,4,FALSE),VLOOKUP(PolicyholdersSimulation!J506,PremiumTable!$S$4:$V$41,4,FALSE))</f>
        <v>116.67713821073481</v>
      </c>
    </row>
    <row r="507" spans="1:13" x14ac:dyDescent="0.3">
      <c r="A507">
        <v>482</v>
      </c>
      <c r="B507">
        <v>27</v>
      </c>
      <c r="C507">
        <f t="shared" si="28"/>
        <v>27</v>
      </c>
      <c r="D507">
        <v>0.15440841974370023</v>
      </c>
      <c r="E507" t="str">
        <f t="shared" si="30"/>
        <v>Smoker</v>
      </c>
      <c r="F507">
        <f>IF(E507="Nonsmoker",VLOOKUP(PolicyholdersSimulation!C507,PremiumTable!$A$4:$D$41,4,FALSE),VLOOKUP(PolicyholdersSimulation!C507,PremiumTable!$G$4:$J$41,4,FALSE))</f>
        <v>151.4146644369799</v>
      </c>
      <c r="H507">
        <v>482</v>
      </c>
      <c r="I507">
        <v>28</v>
      </c>
      <c r="J507">
        <f t="shared" si="29"/>
        <v>28</v>
      </c>
      <c r="K507">
        <v>0.82977173102493218</v>
      </c>
      <c r="L507" t="str">
        <f t="shared" si="31"/>
        <v>Nonsmoker</v>
      </c>
      <c r="M507">
        <f>IF(L507="Nonsmoker",VLOOKUP(PolicyholdersSimulation!J507,PremiumTable!$M$4:$P$41,4,FALSE),VLOOKUP(PolicyholdersSimulation!J507,PremiumTable!$S$4:$V$41,4,FALSE))</f>
        <v>81.666348165376135</v>
      </c>
    </row>
    <row r="508" spans="1:13" x14ac:dyDescent="0.3">
      <c r="A508">
        <v>483</v>
      </c>
      <c r="B508">
        <v>35</v>
      </c>
      <c r="C508">
        <f t="shared" si="28"/>
        <v>35</v>
      </c>
      <c r="D508">
        <v>0.76262353969306762</v>
      </c>
      <c r="E508" t="str">
        <f t="shared" si="30"/>
        <v>Nonsmoker</v>
      </c>
      <c r="F508">
        <f>IF(E508="Nonsmoker",VLOOKUP(PolicyholdersSimulation!C508,PremiumTable!$A$4:$D$41,4,FALSE),VLOOKUP(PolicyholdersSimulation!C508,PremiumTable!$G$4:$J$41,4,FALSE))</f>
        <v>118.66696776486694</v>
      </c>
      <c r="H508">
        <v>483</v>
      </c>
      <c r="I508">
        <v>28</v>
      </c>
      <c r="J508">
        <f t="shared" si="29"/>
        <v>28</v>
      </c>
      <c r="K508">
        <v>0.26718275139067704</v>
      </c>
      <c r="L508" t="str">
        <f t="shared" si="31"/>
        <v>Nonsmoker</v>
      </c>
      <c r="M508">
        <f>IF(L508="Nonsmoker",VLOOKUP(PolicyholdersSimulation!J508,PremiumTable!$M$4:$P$41,4,FALSE),VLOOKUP(PolicyholdersSimulation!J508,PremiumTable!$S$4:$V$41,4,FALSE))</f>
        <v>81.666348165376135</v>
      </c>
    </row>
    <row r="509" spans="1:13" x14ac:dyDescent="0.3">
      <c r="A509">
        <v>484</v>
      </c>
      <c r="B509">
        <v>41</v>
      </c>
      <c r="C509">
        <f t="shared" si="28"/>
        <v>41</v>
      </c>
      <c r="D509">
        <v>0.37592140924649631</v>
      </c>
      <c r="E509" t="str">
        <f t="shared" si="30"/>
        <v>Nonsmoker</v>
      </c>
      <c r="F509">
        <f>IF(E509="Nonsmoker",VLOOKUP(PolicyholdersSimulation!C509,PremiumTable!$A$4:$D$41,4,FALSE),VLOOKUP(PolicyholdersSimulation!C509,PremiumTable!$G$4:$J$41,4,FALSE))</f>
        <v>167.10777343661104</v>
      </c>
      <c r="H509">
        <v>484</v>
      </c>
      <c r="I509">
        <v>31</v>
      </c>
      <c r="J509">
        <f t="shared" si="29"/>
        <v>31</v>
      </c>
      <c r="K509">
        <v>0.22458577567331961</v>
      </c>
      <c r="L509" t="str">
        <f t="shared" si="31"/>
        <v>Nonsmoker</v>
      </c>
      <c r="M509">
        <f>IF(L509="Nonsmoker",VLOOKUP(PolicyholdersSimulation!J509,PremiumTable!$M$4:$P$41,4,FALSE),VLOOKUP(PolicyholdersSimulation!J509,PremiumTable!$S$4:$V$41,4,FALSE))</f>
        <v>90.615055552142564</v>
      </c>
    </row>
    <row r="510" spans="1:13" x14ac:dyDescent="0.3">
      <c r="A510">
        <v>485</v>
      </c>
      <c r="B510">
        <v>37</v>
      </c>
      <c r="C510">
        <f t="shared" si="28"/>
        <v>37</v>
      </c>
      <c r="D510">
        <v>0.5863295131228845</v>
      </c>
      <c r="E510" t="str">
        <f t="shared" si="30"/>
        <v>Nonsmoker</v>
      </c>
      <c r="F510">
        <f>IF(E510="Nonsmoker",VLOOKUP(PolicyholdersSimulation!C510,PremiumTable!$A$4:$D$41,4,FALSE),VLOOKUP(PolicyholdersSimulation!C510,PremiumTable!$G$4:$J$41,4,FALSE))</f>
        <v>131.04073052327638</v>
      </c>
      <c r="H510">
        <v>485</v>
      </c>
      <c r="I510">
        <v>34</v>
      </c>
      <c r="J510">
        <f t="shared" si="29"/>
        <v>34</v>
      </c>
      <c r="K510">
        <v>0.41667717770666879</v>
      </c>
      <c r="L510" t="str">
        <f t="shared" si="31"/>
        <v>Nonsmoker</v>
      </c>
      <c r="M510">
        <f>IF(L510="Nonsmoker",VLOOKUP(PolicyholdersSimulation!J510,PremiumTable!$M$4:$P$41,4,FALSE),VLOOKUP(PolicyholdersSimulation!J510,PremiumTable!$S$4:$V$41,4,FALSE))</f>
        <v>101.73968585979277</v>
      </c>
    </row>
    <row r="511" spans="1:13" x14ac:dyDescent="0.3">
      <c r="A511">
        <v>486</v>
      </c>
      <c r="B511">
        <v>43</v>
      </c>
      <c r="C511">
        <f t="shared" si="28"/>
        <v>43</v>
      </c>
      <c r="D511">
        <v>0.65597599179554933</v>
      </c>
      <c r="E511" t="str">
        <f t="shared" si="30"/>
        <v>Nonsmoker</v>
      </c>
      <c r="F511">
        <f>IF(E511="Nonsmoker",VLOOKUP(PolicyholdersSimulation!C511,PremiumTable!$A$4:$D$41,4,FALSE),VLOOKUP(PolicyholdersSimulation!C511,PremiumTable!$G$4:$J$41,4,FALSE))</f>
        <v>187.89384537033465</v>
      </c>
      <c r="H511">
        <v>486</v>
      </c>
      <c r="I511">
        <v>22</v>
      </c>
      <c r="J511">
        <f t="shared" si="29"/>
        <v>22</v>
      </c>
      <c r="K511">
        <v>0.65272762942406026</v>
      </c>
      <c r="L511" t="str">
        <f t="shared" si="31"/>
        <v>Nonsmoker</v>
      </c>
      <c r="M511">
        <f>IF(L511="Nonsmoker",VLOOKUP(PolicyholdersSimulation!J511,PremiumTable!$M$4:$P$41,4,FALSE),VLOOKUP(PolicyholdersSimulation!J511,PremiumTable!$S$4:$V$41,4,FALSE))</f>
        <v>81.743813936142374</v>
      </c>
    </row>
    <row r="512" spans="1:13" x14ac:dyDescent="0.3">
      <c r="A512">
        <v>487</v>
      </c>
      <c r="B512">
        <v>43</v>
      </c>
      <c r="C512">
        <f t="shared" si="28"/>
        <v>43</v>
      </c>
      <c r="D512">
        <v>0.78004223583727994</v>
      </c>
      <c r="E512" t="str">
        <f t="shared" si="30"/>
        <v>Nonsmoker</v>
      </c>
      <c r="F512">
        <f>IF(E512="Nonsmoker",VLOOKUP(PolicyholdersSimulation!C512,PremiumTable!$A$4:$D$41,4,FALSE),VLOOKUP(PolicyholdersSimulation!C512,PremiumTable!$G$4:$J$41,4,FALSE))</f>
        <v>187.89384537033465</v>
      </c>
      <c r="H512">
        <v>487</v>
      </c>
      <c r="I512">
        <v>33</v>
      </c>
      <c r="J512">
        <f t="shared" si="29"/>
        <v>33</v>
      </c>
      <c r="K512">
        <v>0.42066168939194482</v>
      </c>
      <c r="L512" t="str">
        <f t="shared" si="31"/>
        <v>Nonsmoker</v>
      </c>
      <c r="M512">
        <f>IF(L512="Nonsmoker",VLOOKUP(PolicyholdersSimulation!J512,PremiumTable!$M$4:$P$41,4,FALSE),VLOOKUP(PolicyholdersSimulation!J512,PremiumTable!$S$4:$V$41,4,FALSE))</f>
        <v>97.645038306373721</v>
      </c>
    </row>
    <row r="513" spans="1:13" x14ac:dyDescent="0.3">
      <c r="A513">
        <v>488</v>
      </c>
      <c r="B513">
        <v>28</v>
      </c>
      <c r="C513">
        <f t="shared" si="28"/>
        <v>28</v>
      </c>
      <c r="D513">
        <v>0.99718471214313864</v>
      </c>
      <c r="E513" t="str">
        <f t="shared" si="30"/>
        <v>Nonsmoker</v>
      </c>
      <c r="F513">
        <f>IF(E513="Nonsmoker",VLOOKUP(PolicyholdersSimulation!C513,PremiumTable!$A$4:$D$41,4,FALSE),VLOOKUP(PolicyholdersSimulation!C513,PremiumTable!$G$4:$J$41,4,FALSE))</f>
        <v>97.344900542817271</v>
      </c>
      <c r="H513">
        <v>488</v>
      </c>
      <c r="I513">
        <v>22</v>
      </c>
      <c r="J513">
        <f t="shared" si="29"/>
        <v>22</v>
      </c>
      <c r="K513">
        <v>0.96880684725840105</v>
      </c>
      <c r="L513" t="str">
        <f t="shared" si="31"/>
        <v>Nonsmoker</v>
      </c>
      <c r="M513">
        <f>IF(L513="Nonsmoker",VLOOKUP(PolicyholdersSimulation!J513,PremiumTable!$M$4:$P$41,4,FALSE),VLOOKUP(PolicyholdersSimulation!J513,PremiumTable!$S$4:$V$41,4,FALSE))</f>
        <v>81.743813936142374</v>
      </c>
    </row>
    <row r="514" spans="1:13" x14ac:dyDescent="0.3">
      <c r="A514">
        <v>489</v>
      </c>
      <c r="B514">
        <v>27</v>
      </c>
      <c r="C514">
        <f t="shared" si="28"/>
        <v>27</v>
      </c>
      <c r="D514">
        <v>0.9013559941825231</v>
      </c>
      <c r="E514" t="str">
        <f t="shared" si="30"/>
        <v>Nonsmoker</v>
      </c>
      <c r="F514">
        <f>IF(E514="Nonsmoker",VLOOKUP(PolicyholdersSimulation!C514,PremiumTable!$A$4:$D$41,4,FALSE),VLOOKUP(PolicyholdersSimulation!C514,PremiumTable!$G$4:$J$41,4,FALSE))</f>
        <v>95.45464806549127</v>
      </c>
      <c r="H514">
        <v>489</v>
      </c>
      <c r="I514">
        <v>21</v>
      </c>
      <c r="J514">
        <f t="shared" si="29"/>
        <v>21</v>
      </c>
      <c r="K514">
        <v>0.62662046500953694</v>
      </c>
      <c r="L514" t="str">
        <f t="shared" si="31"/>
        <v>Nonsmoker</v>
      </c>
      <c r="M514">
        <f>IF(L514="Nonsmoker",VLOOKUP(PolicyholdersSimulation!J514,PremiumTable!$M$4:$P$41,4,FALSE),VLOOKUP(PolicyholdersSimulation!J514,PremiumTable!$S$4:$V$41,4,FALSE))</f>
        <v>83.888160082848557</v>
      </c>
    </row>
    <row r="515" spans="1:13" x14ac:dyDescent="0.3">
      <c r="A515">
        <v>490</v>
      </c>
      <c r="B515">
        <v>41</v>
      </c>
      <c r="C515">
        <f t="shared" si="28"/>
        <v>41</v>
      </c>
      <c r="D515">
        <v>0.13069195510153664</v>
      </c>
      <c r="E515" t="str">
        <f t="shared" si="30"/>
        <v>Smoker</v>
      </c>
      <c r="F515">
        <f>IF(E515="Nonsmoker",VLOOKUP(PolicyholdersSimulation!C515,PremiumTable!$A$4:$D$41,4,FALSE),VLOOKUP(PolicyholdersSimulation!C515,PremiumTable!$G$4:$J$41,4,FALSE))</f>
        <v>356.26297632246997</v>
      </c>
      <c r="H515">
        <v>490</v>
      </c>
      <c r="I515">
        <v>36</v>
      </c>
      <c r="J515">
        <f t="shared" si="29"/>
        <v>36</v>
      </c>
      <c r="K515">
        <v>0.4381641068029245</v>
      </c>
      <c r="L515" t="str">
        <f t="shared" si="31"/>
        <v>Nonsmoker</v>
      </c>
      <c r="M515">
        <f>IF(L515="Nonsmoker",VLOOKUP(PolicyholdersSimulation!J515,PremiumTable!$M$4:$P$41,4,FALSE),VLOOKUP(PolicyholdersSimulation!J515,PremiumTable!$S$4:$V$41,4,FALSE))</f>
        <v>111.05506919808718</v>
      </c>
    </row>
    <row r="516" spans="1:13" x14ac:dyDescent="0.3">
      <c r="A516">
        <v>491</v>
      </c>
      <c r="B516">
        <v>29</v>
      </c>
      <c r="C516">
        <f t="shared" si="28"/>
        <v>29</v>
      </c>
      <c r="D516">
        <v>0.89259101969358734</v>
      </c>
      <c r="E516" t="str">
        <f t="shared" si="30"/>
        <v>Nonsmoker</v>
      </c>
      <c r="F516">
        <f>IF(E516="Nonsmoker",VLOOKUP(PolicyholdersSimulation!C516,PremiumTable!$A$4:$D$41,4,FALSE),VLOOKUP(PolicyholdersSimulation!C516,PremiumTable!$G$4:$J$41,4,FALSE))</f>
        <v>97.884728277152888</v>
      </c>
      <c r="H516">
        <v>491</v>
      </c>
      <c r="I516">
        <v>34</v>
      </c>
      <c r="J516">
        <f t="shared" si="29"/>
        <v>34</v>
      </c>
      <c r="K516">
        <v>0.60933980667171428</v>
      </c>
      <c r="L516" t="str">
        <f t="shared" si="31"/>
        <v>Nonsmoker</v>
      </c>
      <c r="M516">
        <f>IF(L516="Nonsmoker",VLOOKUP(PolicyholdersSimulation!J516,PremiumTable!$M$4:$P$41,4,FALSE),VLOOKUP(PolicyholdersSimulation!J516,PremiumTable!$S$4:$V$41,4,FALSE))</f>
        <v>101.73968585979277</v>
      </c>
    </row>
    <row r="517" spans="1:13" x14ac:dyDescent="0.3">
      <c r="A517">
        <v>492</v>
      </c>
      <c r="B517">
        <v>45</v>
      </c>
      <c r="C517">
        <f t="shared" si="28"/>
        <v>45</v>
      </c>
      <c r="D517">
        <v>0.3900964316069101</v>
      </c>
      <c r="E517" t="str">
        <f t="shared" si="30"/>
        <v>Nonsmoker</v>
      </c>
      <c r="F517">
        <f>IF(E517="Nonsmoker",VLOOKUP(PolicyholdersSimulation!C517,PremiumTable!$A$4:$D$41,4,FALSE),VLOOKUP(PolicyholdersSimulation!C517,PremiumTable!$G$4:$J$41,4,FALSE))</f>
        <v>213.66497913765616</v>
      </c>
      <c r="H517">
        <v>492</v>
      </c>
      <c r="I517">
        <v>23</v>
      </c>
      <c r="J517">
        <f t="shared" si="29"/>
        <v>23</v>
      </c>
      <c r="K517">
        <v>0.87487237181206479</v>
      </c>
      <c r="L517" t="str">
        <f t="shared" si="31"/>
        <v>Nonsmoker</v>
      </c>
      <c r="M517">
        <f>IF(L517="Nonsmoker",VLOOKUP(PolicyholdersSimulation!J517,PremiumTable!$M$4:$P$41,4,FALSE),VLOOKUP(PolicyholdersSimulation!J517,PremiumTable!$S$4:$V$41,4,FALSE))</f>
        <v>80.885782895186097</v>
      </c>
    </row>
    <row r="518" spans="1:13" x14ac:dyDescent="0.3">
      <c r="A518">
        <v>493</v>
      </c>
      <c r="B518">
        <v>29</v>
      </c>
      <c r="C518">
        <f t="shared" si="28"/>
        <v>29</v>
      </c>
      <c r="D518">
        <v>3.8499684507337539E-2</v>
      </c>
      <c r="E518" t="str">
        <f t="shared" si="30"/>
        <v>Smoker</v>
      </c>
      <c r="F518">
        <f>IF(E518="Nonsmoker",VLOOKUP(PolicyholdersSimulation!C518,PremiumTable!$A$4:$D$41,4,FALSE),VLOOKUP(PolicyholdersSimulation!C518,PremiumTable!$G$4:$J$41,4,FALSE))</f>
        <v>166.3191830281518</v>
      </c>
      <c r="H518">
        <v>493</v>
      </c>
      <c r="I518">
        <v>25</v>
      </c>
      <c r="J518">
        <f t="shared" si="29"/>
        <v>25</v>
      </c>
      <c r="K518">
        <v>0.45760607103344808</v>
      </c>
      <c r="L518" t="str">
        <f t="shared" si="31"/>
        <v>Nonsmoker</v>
      </c>
      <c r="M518">
        <f>IF(L518="Nonsmoker",VLOOKUP(PolicyholdersSimulation!J518,PremiumTable!$M$4:$P$41,4,FALSE),VLOOKUP(PolicyholdersSimulation!J518,PremiumTable!$S$4:$V$41,4,FALSE))</f>
        <v>78.502715161507126</v>
      </c>
    </row>
    <row r="519" spans="1:13" x14ac:dyDescent="0.3">
      <c r="A519">
        <v>494</v>
      </c>
      <c r="B519">
        <v>28</v>
      </c>
      <c r="C519">
        <f t="shared" si="28"/>
        <v>28</v>
      </c>
      <c r="D519">
        <v>0.77540662107808422</v>
      </c>
      <c r="E519" t="str">
        <f t="shared" si="30"/>
        <v>Nonsmoker</v>
      </c>
      <c r="F519">
        <f>IF(E519="Nonsmoker",VLOOKUP(PolicyholdersSimulation!C519,PremiumTable!$A$4:$D$41,4,FALSE),VLOOKUP(PolicyholdersSimulation!C519,PremiumTable!$G$4:$J$41,4,FALSE))</f>
        <v>97.344900542817271</v>
      </c>
      <c r="H519">
        <v>494</v>
      </c>
      <c r="I519">
        <v>29</v>
      </c>
      <c r="J519">
        <f t="shared" si="29"/>
        <v>29</v>
      </c>
      <c r="K519">
        <v>0.40058683013026375</v>
      </c>
      <c r="L519" t="str">
        <f t="shared" si="31"/>
        <v>Nonsmoker</v>
      </c>
      <c r="M519">
        <f>IF(L519="Nonsmoker",VLOOKUP(PolicyholdersSimulation!J519,PremiumTable!$M$4:$P$41,4,FALSE),VLOOKUP(PolicyholdersSimulation!J519,PremiumTable!$S$4:$V$41,4,FALSE))</f>
        <v>84.42413832124069</v>
      </c>
    </row>
    <row r="520" spans="1:13" x14ac:dyDescent="0.3">
      <c r="A520">
        <v>495</v>
      </c>
      <c r="B520">
        <v>43</v>
      </c>
      <c r="C520">
        <f t="shared" si="28"/>
        <v>43</v>
      </c>
      <c r="D520">
        <v>0.23085157602060469</v>
      </c>
      <c r="E520" t="str">
        <f t="shared" si="30"/>
        <v>Nonsmoker</v>
      </c>
      <c r="F520">
        <f>IF(E520="Nonsmoker",VLOOKUP(PolicyholdersSimulation!C520,PremiumTable!$A$4:$D$41,4,FALSE),VLOOKUP(PolicyholdersSimulation!C520,PremiumTable!$G$4:$J$41,4,FALSE))</f>
        <v>187.89384537033465</v>
      </c>
      <c r="H520">
        <v>495</v>
      </c>
      <c r="I520">
        <v>24</v>
      </c>
      <c r="J520">
        <f t="shared" si="29"/>
        <v>24</v>
      </c>
      <c r="K520">
        <v>0.51686778867038108</v>
      </c>
      <c r="L520" t="str">
        <f t="shared" si="31"/>
        <v>Nonsmoker</v>
      </c>
      <c r="M520">
        <f>IF(L520="Nonsmoker",VLOOKUP(PolicyholdersSimulation!J520,PremiumTable!$M$4:$P$41,4,FALSE),VLOOKUP(PolicyholdersSimulation!J520,PremiumTable!$S$4:$V$41,4,FALSE))</f>
        <v>79.12344116938408</v>
      </c>
    </row>
    <row r="521" spans="1:13" x14ac:dyDescent="0.3">
      <c r="A521">
        <v>496</v>
      </c>
      <c r="B521">
        <v>32</v>
      </c>
      <c r="C521">
        <f t="shared" si="28"/>
        <v>32</v>
      </c>
      <c r="D521">
        <v>0.58355217799940373</v>
      </c>
      <c r="E521" t="str">
        <f t="shared" si="30"/>
        <v>Nonsmoker</v>
      </c>
      <c r="F521">
        <f>IF(E521="Nonsmoker",VLOOKUP(PolicyholdersSimulation!C521,PremiumTable!$A$4:$D$41,4,FALSE),VLOOKUP(PolicyholdersSimulation!C521,PremiumTable!$G$4:$J$41,4,FALSE))</f>
        <v>104.12568156832383</v>
      </c>
      <c r="H521">
        <v>496</v>
      </c>
      <c r="I521">
        <v>22</v>
      </c>
      <c r="J521">
        <f t="shared" si="29"/>
        <v>22</v>
      </c>
      <c r="K521">
        <v>0.86616046546397329</v>
      </c>
      <c r="L521" t="str">
        <f t="shared" si="31"/>
        <v>Nonsmoker</v>
      </c>
      <c r="M521">
        <f>IF(L521="Nonsmoker",VLOOKUP(PolicyholdersSimulation!J521,PremiumTable!$M$4:$P$41,4,FALSE),VLOOKUP(PolicyholdersSimulation!J521,PremiumTable!$S$4:$V$41,4,FALSE))</f>
        <v>81.743813936142374</v>
      </c>
    </row>
    <row r="522" spans="1:13" x14ac:dyDescent="0.3">
      <c r="A522">
        <v>497</v>
      </c>
      <c r="B522">
        <v>39</v>
      </c>
      <c r="C522">
        <f t="shared" si="28"/>
        <v>39</v>
      </c>
      <c r="D522">
        <v>0.25096129256359279</v>
      </c>
      <c r="E522" t="str">
        <f t="shared" si="30"/>
        <v>Nonsmoker</v>
      </c>
      <c r="F522">
        <f>IF(E522="Nonsmoker",VLOOKUP(PolicyholdersSimulation!C522,PremiumTable!$A$4:$D$41,4,FALSE),VLOOKUP(PolicyholdersSimulation!C522,PremiumTable!$G$4:$J$41,4,FALSE))</f>
        <v>147.47819581803472</v>
      </c>
      <c r="H522">
        <v>497</v>
      </c>
      <c r="I522">
        <v>23</v>
      </c>
      <c r="J522">
        <f t="shared" si="29"/>
        <v>23</v>
      </c>
      <c r="K522">
        <v>0.54809808389944559</v>
      </c>
      <c r="L522" t="str">
        <f t="shared" si="31"/>
        <v>Nonsmoker</v>
      </c>
      <c r="M522">
        <f>IF(L522="Nonsmoker",VLOOKUP(PolicyholdersSimulation!J522,PremiumTable!$M$4:$P$41,4,FALSE),VLOOKUP(PolicyholdersSimulation!J522,PremiumTable!$S$4:$V$41,4,FALSE))</f>
        <v>80.885782895186097</v>
      </c>
    </row>
    <row r="523" spans="1:13" x14ac:dyDescent="0.3">
      <c r="A523">
        <v>498</v>
      </c>
      <c r="B523">
        <v>33</v>
      </c>
      <c r="C523">
        <f t="shared" si="28"/>
        <v>33</v>
      </c>
      <c r="D523">
        <v>8.9421957094255711E-2</v>
      </c>
      <c r="E523" t="str">
        <f t="shared" si="30"/>
        <v>Smoker</v>
      </c>
      <c r="F523">
        <f>IF(E523="Nonsmoker",VLOOKUP(PolicyholdersSimulation!C523,PremiumTable!$A$4:$D$41,4,FALSE),VLOOKUP(PolicyholdersSimulation!C523,PremiumTable!$G$4:$J$41,4,FALSE))</f>
        <v>213.66592257449349</v>
      </c>
      <c r="H523">
        <v>498</v>
      </c>
      <c r="I523">
        <v>25</v>
      </c>
      <c r="J523">
        <f t="shared" si="29"/>
        <v>25</v>
      </c>
      <c r="K523">
        <v>0.40897528398714211</v>
      </c>
      <c r="L523" t="str">
        <f t="shared" si="31"/>
        <v>Nonsmoker</v>
      </c>
      <c r="M523">
        <f>IF(L523="Nonsmoker",VLOOKUP(PolicyholdersSimulation!J523,PremiumTable!$M$4:$P$41,4,FALSE),VLOOKUP(PolicyholdersSimulation!J523,PremiumTable!$S$4:$V$41,4,FALSE))</f>
        <v>78.502715161507126</v>
      </c>
    </row>
    <row r="524" spans="1:13" x14ac:dyDescent="0.3">
      <c r="A524">
        <v>499</v>
      </c>
      <c r="B524">
        <v>44</v>
      </c>
      <c r="C524">
        <f t="shared" si="28"/>
        <v>44</v>
      </c>
      <c r="D524">
        <v>0.18912316956012054</v>
      </c>
      <c r="E524" t="str">
        <f t="shared" si="30"/>
        <v>Smoker</v>
      </c>
      <c r="F524">
        <f>IF(E524="Nonsmoker",VLOOKUP(PolicyholdersSimulation!C524,PremiumTable!$A$4:$D$41,4,FALSE),VLOOKUP(PolicyholdersSimulation!C524,PremiumTable!$G$4:$J$41,4,FALSE))</f>
        <v>463.57170077473569</v>
      </c>
      <c r="H524">
        <v>499</v>
      </c>
      <c r="I524">
        <v>41</v>
      </c>
      <c r="J524">
        <f t="shared" si="29"/>
        <v>41</v>
      </c>
      <c r="K524">
        <v>0.51228788863533081</v>
      </c>
      <c r="L524" t="str">
        <f t="shared" si="31"/>
        <v>Nonsmoker</v>
      </c>
      <c r="M524">
        <f>IF(L524="Nonsmoker",VLOOKUP(PolicyholdersSimulation!J524,PremiumTable!$M$4:$P$41,4,FALSE),VLOOKUP(PolicyholdersSimulation!J524,PremiumTable!$S$4:$V$41,4,FALSE))</f>
        <v>140.40115473558592</v>
      </c>
    </row>
    <row r="525" spans="1:13" x14ac:dyDescent="0.3">
      <c r="A525">
        <v>500</v>
      </c>
      <c r="B525">
        <v>24</v>
      </c>
      <c r="C525">
        <f t="shared" si="28"/>
        <v>24</v>
      </c>
      <c r="D525">
        <v>0.54580739527331112</v>
      </c>
      <c r="E525" t="str">
        <f t="shared" si="30"/>
        <v>Nonsmoker</v>
      </c>
      <c r="F525">
        <f>IF(E525="Nonsmoker",VLOOKUP(PolicyholdersSimulation!C525,PremiumTable!$A$4:$D$41,4,FALSE),VLOOKUP(PolicyholdersSimulation!C525,PremiumTable!$G$4:$J$41,4,FALSE))</f>
        <v>99.57151446197669</v>
      </c>
      <c r="H525">
        <v>500</v>
      </c>
      <c r="I525">
        <v>31</v>
      </c>
      <c r="J525">
        <f t="shared" si="29"/>
        <v>31</v>
      </c>
      <c r="K525">
        <v>0.89667761924887956</v>
      </c>
      <c r="L525" t="str">
        <f t="shared" si="31"/>
        <v>Nonsmoker</v>
      </c>
      <c r="M525">
        <f>IF(L525="Nonsmoker",VLOOKUP(PolicyholdersSimulation!J525,PremiumTable!$M$4:$P$41,4,FALSE),VLOOKUP(PolicyholdersSimulation!J525,PremiumTable!$S$4:$V$41,4,FALSE))</f>
        <v>90.615055552142564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AC53C-6820-4833-88C3-CB3FF703887F}">
  <sheetPr codeName="Sheet5"/>
  <dimension ref="A1:Z219"/>
  <sheetViews>
    <sheetView topLeftCell="A9" workbookViewId="0">
      <selection activeCell="A21" sqref="A21"/>
    </sheetView>
  </sheetViews>
  <sheetFormatPr defaultColWidth="9.109375" defaultRowHeight="14.4" x14ac:dyDescent="0.3"/>
  <cols>
    <col min="1" max="1" width="10.88671875" style="4" customWidth="1"/>
    <col min="2" max="16384" width="9.109375" style="4"/>
  </cols>
  <sheetData>
    <row r="1" spans="1:2" x14ac:dyDescent="0.3">
      <c r="A1" s="5" t="s">
        <v>12</v>
      </c>
      <c r="B1" s="5" t="s">
        <v>13</v>
      </c>
    </row>
    <row r="2" spans="1:2" x14ac:dyDescent="0.3">
      <c r="A2" s="5" t="s">
        <v>14</v>
      </c>
      <c r="B2" s="5" t="s">
        <v>15</v>
      </c>
    </row>
    <row r="3" spans="1:2" x14ac:dyDescent="0.3">
      <c r="A3" s="5" t="s">
        <v>16</v>
      </c>
      <c r="B3" s="5" t="s">
        <v>17</v>
      </c>
    </row>
    <row r="4" spans="1:2" x14ac:dyDescent="0.3">
      <c r="A4" s="5" t="s">
        <v>18</v>
      </c>
      <c r="B4" s="5" t="s">
        <v>19</v>
      </c>
    </row>
    <row r="5" spans="1:2" x14ac:dyDescent="0.3">
      <c r="A5" s="5" t="s">
        <v>20</v>
      </c>
      <c r="B5" s="5" t="s">
        <v>21</v>
      </c>
    </row>
    <row r="6" spans="1:2" x14ac:dyDescent="0.3">
      <c r="A6" s="5" t="s">
        <v>22</v>
      </c>
      <c r="B6" s="5" t="s">
        <v>23</v>
      </c>
    </row>
    <row r="7" spans="1:2" x14ac:dyDescent="0.3">
      <c r="A7" s="5" t="s">
        <v>24</v>
      </c>
      <c r="B7" s="5" t="s">
        <v>25</v>
      </c>
    </row>
    <row r="8" spans="1:2" x14ac:dyDescent="0.3">
      <c r="A8" s="5" t="s">
        <v>26</v>
      </c>
      <c r="B8" s="5" t="s">
        <v>27</v>
      </c>
    </row>
    <row r="9" spans="1:2" x14ac:dyDescent="0.3">
      <c r="A9" s="5" t="s">
        <v>28</v>
      </c>
      <c r="B9" s="5" t="s">
        <v>29</v>
      </c>
    </row>
    <row r="10" spans="1:2" x14ac:dyDescent="0.3">
      <c r="A10" s="5" t="s">
        <v>30</v>
      </c>
      <c r="B10" s="5" t="s">
        <v>31</v>
      </c>
    </row>
    <row r="12" spans="1:2" x14ac:dyDescent="0.3">
      <c r="A12" s="5" t="s">
        <v>32</v>
      </c>
      <c r="B12" s="5">
        <v>1</v>
      </c>
    </row>
    <row r="13" spans="1:2" x14ac:dyDescent="0.3">
      <c r="A13" s="5" t="s">
        <v>24</v>
      </c>
      <c r="B13" s="5" t="s">
        <v>319</v>
      </c>
    </row>
    <row r="14" spans="1:2" x14ac:dyDescent="0.3">
      <c r="A14" s="5" t="s">
        <v>34</v>
      </c>
      <c r="B14" s="5" t="s">
        <v>35</v>
      </c>
    </row>
    <row r="15" spans="1:2" x14ac:dyDescent="0.3">
      <c r="A15" s="5" t="s">
        <v>36</v>
      </c>
      <c r="B15" s="5">
        <v>0</v>
      </c>
    </row>
    <row r="16" spans="1:2" x14ac:dyDescent="0.3">
      <c r="A16" s="5" t="s">
        <v>38</v>
      </c>
      <c r="B16" s="5" t="s">
        <v>39</v>
      </c>
    </row>
    <row r="17" spans="1:26" x14ac:dyDescent="0.3">
      <c r="A17" s="5" t="s">
        <v>40</v>
      </c>
      <c r="B17" s="5" t="s">
        <v>4</v>
      </c>
      <c r="C17" s="5" t="s">
        <v>41</v>
      </c>
      <c r="D17" s="5"/>
      <c r="E17" s="5"/>
      <c r="F17" s="5"/>
      <c r="G17" s="5"/>
      <c r="H17" s="5"/>
      <c r="I17" s="5"/>
      <c r="J17" s="5"/>
      <c r="K17" s="5"/>
      <c r="L17" s="5"/>
      <c r="M17" s="5"/>
      <c r="N17" s="5"/>
      <c r="O17" s="5"/>
      <c r="P17" s="5"/>
      <c r="Q17" s="5"/>
      <c r="R17" s="5"/>
      <c r="S17" s="5"/>
      <c r="T17" s="5"/>
      <c r="U17" s="5"/>
      <c r="V17" s="5"/>
      <c r="W17" s="5"/>
      <c r="X17" s="5"/>
      <c r="Y17" s="5"/>
      <c r="Z17" s="5"/>
    </row>
    <row r="18" spans="1:26" x14ac:dyDescent="0.3">
      <c r="A18" s="5" t="s">
        <v>42</v>
      </c>
      <c r="B18" s="5" t="s">
        <v>4</v>
      </c>
      <c r="C18" s="5" t="s">
        <v>43</v>
      </c>
      <c r="D18" s="5"/>
      <c r="E18" s="5"/>
      <c r="F18" s="5"/>
      <c r="G18" s="5"/>
      <c r="H18" s="5"/>
      <c r="I18" s="5"/>
      <c r="J18" s="5"/>
      <c r="K18" s="5"/>
      <c r="L18" s="5"/>
      <c r="M18" s="5"/>
      <c r="N18" s="5"/>
      <c r="O18" s="5"/>
      <c r="P18" s="5"/>
      <c r="Q18" s="5"/>
      <c r="R18" s="5"/>
      <c r="S18" s="5"/>
      <c r="T18" s="5"/>
      <c r="U18" s="5"/>
      <c r="V18" s="5"/>
      <c r="W18" s="5"/>
      <c r="X18" s="5"/>
      <c r="Y18" s="5"/>
      <c r="Z18" s="5"/>
    </row>
    <row r="19" spans="1:26" x14ac:dyDescent="0.3">
      <c r="A19" s="5" t="s">
        <v>44</v>
      </c>
      <c r="B19" s="5" t="s">
        <v>4</v>
      </c>
      <c r="C19" s="5" t="s">
        <v>41</v>
      </c>
      <c r="D19" s="5"/>
      <c r="E19" s="5"/>
      <c r="F19" s="5"/>
      <c r="G19" s="5"/>
      <c r="H19" s="5"/>
      <c r="I19" s="5"/>
      <c r="J19" s="5"/>
      <c r="K19" s="5"/>
      <c r="L19" s="5"/>
      <c r="M19" s="5"/>
      <c r="N19" s="5"/>
      <c r="O19" s="5"/>
      <c r="P19" s="5"/>
      <c r="Q19" s="5"/>
      <c r="R19" s="5"/>
      <c r="S19" s="5"/>
      <c r="T19" s="5"/>
      <c r="U19" s="5"/>
      <c r="V19" s="5"/>
      <c r="W19" s="5"/>
      <c r="X19" s="5"/>
      <c r="Y19" s="5"/>
      <c r="Z19" s="5"/>
    </row>
    <row r="20" spans="1:26" x14ac:dyDescent="0.3">
      <c r="A20" s="5" t="s">
        <v>45</v>
      </c>
      <c r="B20" s="5">
        <v>18</v>
      </c>
      <c r="C20" s="5">
        <v>1</v>
      </c>
      <c r="D20" s="5"/>
      <c r="E20" s="5"/>
      <c r="F20" s="5"/>
      <c r="G20" s="5"/>
      <c r="H20" s="5"/>
      <c r="I20" s="5"/>
      <c r="J20" s="5"/>
      <c r="K20" s="5"/>
      <c r="L20" s="5"/>
      <c r="M20" s="5"/>
      <c r="N20" s="5"/>
      <c r="O20" s="5"/>
      <c r="P20" s="5"/>
      <c r="Q20" s="5"/>
      <c r="R20" s="5"/>
      <c r="S20" s="5"/>
      <c r="T20" s="5"/>
      <c r="U20" s="5"/>
      <c r="V20" s="5"/>
      <c r="W20" s="5"/>
      <c r="X20" s="5"/>
      <c r="Y20" s="5"/>
      <c r="Z20" s="5"/>
    </row>
    <row r="21" spans="1:26" x14ac:dyDescent="0.3">
      <c r="A21" s="5" t="s">
        <v>47</v>
      </c>
      <c r="B21" s="5">
        <v>95</v>
      </c>
      <c r="C21" s="5">
        <v>25</v>
      </c>
      <c r="D21" s="5"/>
      <c r="E21" s="5"/>
      <c r="F21" s="5"/>
      <c r="G21" s="5"/>
      <c r="H21" s="5"/>
      <c r="I21" s="5"/>
      <c r="J21" s="5"/>
      <c r="K21" s="5"/>
      <c r="L21" s="5"/>
      <c r="M21" s="5"/>
      <c r="N21" s="5"/>
      <c r="O21" s="5"/>
      <c r="P21" s="5"/>
      <c r="Q21" s="5"/>
      <c r="R21" s="5"/>
      <c r="S21" s="5"/>
      <c r="T21" s="5"/>
      <c r="U21" s="5"/>
      <c r="V21" s="5"/>
      <c r="W21" s="5"/>
      <c r="X21" s="5"/>
      <c r="Y21" s="5"/>
      <c r="Z21" s="5"/>
    </row>
    <row r="22" spans="1:26" x14ac:dyDescent="0.3">
      <c r="A22" s="5" t="s">
        <v>50</v>
      </c>
      <c r="B22" s="5">
        <v>1</v>
      </c>
      <c r="C22" s="5">
        <v>1</v>
      </c>
      <c r="D22" s="5"/>
      <c r="E22" s="5"/>
      <c r="F22" s="5"/>
      <c r="G22" s="5"/>
      <c r="H22" s="5"/>
      <c r="I22" s="5"/>
      <c r="J22" s="5"/>
      <c r="K22" s="5"/>
      <c r="L22" s="5"/>
      <c r="M22" s="5"/>
      <c r="N22" s="5"/>
      <c r="O22" s="5"/>
      <c r="P22" s="5"/>
      <c r="Q22" s="5"/>
      <c r="R22" s="5"/>
      <c r="S22" s="5"/>
      <c r="T22" s="5"/>
      <c r="U22" s="5"/>
      <c r="V22" s="5"/>
      <c r="W22" s="5"/>
      <c r="X22" s="5"/>
      <c r="Y22" s="5"/>
      <c r="Z22" s="5"/>
    </row>
    <row r="24" spans="1:26" x14ac:dyDescent="0.3">
      <c r="A24" s="5" t="s">
        <v>51</v>
      </c>
      <c r="B24" s="5">
        <v>1</v>
      </c>
      <c r="C24" s="5">
        <v>2</v>
      </c>
      <c r="D24" s="5">
        <v>3</v>
      </c>
      <c r="E24" s="5">
        <v>4</v>
      </c>
      <c r="F24" s="5">
        <v>5</v>
      </c>
      <c r="G24" s="5">
        <v>6</v>
      </c>
      <c r="H24" s="5">
        <v>7</v>
      </c>
      <c r="I24" s="5">
        <v>8</v>
      </c>
      <c r="J24" s="5">
        <v>9</v>
      </c>
      <c r="K24" s="5">
        <v>10</v>
      </c>
      <c r="L24" s="5">
        <v>11</v>
      </c>
      <c r="M24" s="5">
        <v>12</v>
      </c>
      <c r="N24" s="5">
        <v>13</v>
      </c>
      <c r="O24" s="5">
        <v>14</v>
      </c>
      <c r="P24" s="5">
        <v>15</v>
      </c>
      <c r="Q24" s="5">
        <v>16</v>
      </c>
      <c r="R24" s="5">
        <v>17</v>
      </c>
      <c r="S24" s="5">
        <v>18</v>
      </c>
      <c r="T24" s="5">
        <v>19</v>
      </c>
      <c r="U24" s="5">
        <v>20</v>
      </c>
      <c r="V24" s="5">
        <v>21</v>
      </c>
      <c r="W24" s="5">
        <v>22</v>
      </c>
      <c r="X24" s="5">
        <v>23</v>
      </c>
      <c r="Y24" s="5">
        <v>24</v>
      </c>
      <c r="Z24" s="5">
        <v>25</v>
      </c>
    </row>
    <row r="25" spans="1:26" x14ac:dyDescent="0.3">
      <c r="A25" s="5">
        <v>18</v>
      </c>
      <c r="B25" s="5">
        <v>6.7000000000000002E-4</v>
      </c>
      <c r="C25" s="5">
        <v>6.9999999999999999E-4</v>
      </c>
      <c r="D25" s="5">
        <v>7.2000000000000005E-4</v>
      </c>
      <c r="E25" s="5">
        <v>7.5000000000000002E-4</v>
      </c>
      <c r="F25" s="5">
        <v>7.7999999999999999E-4</v>
      </c>
      <c r="G25" s="5">
        <v>8.0000000000000004E-4</v>
      </c>
      <c r="H25" s="5">
        <v>8.3000000000000001E-4</v>
      </c>
      <c r="I25" s="5">
        <v>8.4999999999999995E-4</v>
      </c>
      <c r="J25" s="5">
        <v>8.4000000000000003E-4</v>
      </c>
      <c r="K25" s="5">
        <v>8.3000000000000001E-4</v>
      </c>
      <c r="L25" s="5">
        <v>8.1999999999999998E-4</v>
      </c>
      <c r="M25" s="5">
        <v>8.1999999999999998E-4</v>
      </c>
      <c r="N25" s="5">
        <v>8.4000000000000003E-4</v>
      </c>
      <c r="O25" s="5">
        <v>8.8000000000000003E-4</v>
      </c>
      <c r="P25" s="5">
        <v>9.5E-4</v>
      </c>
      <c r="Q25" s="5">
        <v>1.0200000000000001E-3</v>
      </c>
      <c r="R25" s="5">
        <v>1.1000000000000001E-3</v>
      </c>
      <c r="S25" s="5">
        <v>1.1900000000000001E-3</v>
      </c>
      <c r="T25" s="5">
        <v>1.2999999999999999E-3</v>
      </c>
      <c r="U25" s="5">
        <v>1.42E-3</v>
      </c>
      <c r="V25" s="5">
        <v>1.58E-3</v>
      </c>
      <c r="W25" s="5">
        <v>1.7899999999999999E-3</v>
      </c>
      <c r="X25" s="5">
        <v>2.0100000000000001E-3</v>
      </c>
      <c r="Y25" s="5">
        <v>2.2399999999999998E-3</v>
      </c>
      <c r="Z25" s="5">
        <v>2.4599999999999999E-3</v>
      </c>
    </row>
    <row r="26" spans="1:26" x14ac:dyDescent="0.3">
      <c r="A26" s="5">
        <v>19</v>
      </c>
      <c r="B26" s="5">
        <v>6.4000000000000005E-4</v>
      </c>
      <c r="C26" s="5">
        <v>6.6E-4</v>
      </c>
      <c r="D26" s="5">
        <v>6.8999999999999997E-4</v>
      </c>
      <c r="E26" s="5">
        <v>7.1000000000000002E-4</v>
      </c>
      <c r="F26" s="5">
        <v>7.2999999999999996E-4</v>
      </c>
      <c r="G26" s="5">
        <v>7.6000000000000004E-4</v>
      </c>
      <c r="H26" s="5">
        <v>7.7999999999999999E-4</v>
      </c>
      <c r="I26" s="5">
        <v>7.7999999999999999E-4</v>
      </c>
      <c r="J26" s="5">
        <v>7.7999999999999999E-4</v>
      </c>
      <c r="K26" s="5">
        <v>7.7999999999999999E-4</v>
      </c>
      <c r="L26" s="5">
        <v>7.7999999999999999E-4</v>
      </c>
      <c r="M26" s="5">
        <v>8.0000000000000004E-4</v>
      </c>
      <c r="N26" s="5">
        <v>8.4999999999999995E-4</v>
      </c>
      <c r="O26" s="5">
        <v>9.1E-4</v>
      </c>
      <c r="P26" s="5">
        <v>9.7999999999999997E-4</v>
      </c>
      <c r="Q26" s="5">
        <v>1.06E-3</v>
      </c>
      <c r="R26" s="5">
        <v>1.15E-3</v>
      </c>
      <c r="S26" s="5">
        <v>1.25E-3</v>
      </c>
      <c r="T26" s="5">
        <v>1.4E-3</v>
      </c>
      <c r="U26" s="5">
        <v>1.57E-3</v>
      </c>
      <c r="V26" s="5">
        <v>1.7700000000000001E-3</v>
      </c>
      <c r="W26" s="5">
        <v>2E-3</v>
      </c>
      <c r="X26" s="5">
        <v>2.2300000000000002E-3</v>
      </c>
      <c r="Y26" s="5">
        <v>2.4399999999999999E-3</v>
      </c>
      <c r="Z26" s="5">
        <v>2.63E-3</v>
      </c>
    </row>
    <row r="27" spans="1:26" x14ac:dyDescent="0.3">
      <c r="A27" s="5">
        <v>20</v>
      </c>
      <c r="B27" s="5">
        <v>5.9999999999999995E-4</v>
      </c>
      <c r="C27" s="5">
        <v>6.3000000000000003E-4</v>
      </c>
      <c r="D27" s="5">
        <v>6.4999999999999997E-4</v>
      </c>
      <c r="E27" s="5">
        <v>6.7000000000000002E-4</v>
      </c>
      <c r="F27" s="5">
        <v>6.8999999999999997E-4</v>
      </c>
      <c r="G27" s="5">
        <v>7.1000000000000002E-4</v>
      </c>
      <c r="H27" s="5">
        <v>7.2999999999999996E-4</v>
      </c>
      <c r="I27" s="5">
        <v>7.2999999999999996E-4</v>
      </c>
      <c r="J27" s="5">
        <v>7.2999999999999996E-4</v>
      </c>
      <c r="K27" s="5">
        <v>7.3999999999999999E-4</v>
      </c>
      <c r="L27" s="5">
        <v>7.6000000000000004E-4</v>
      </c>
      <c r="M27" s="5">
        <v>8.0999999999999996E-4</v>
      </c>
      <c r="N27" s="5">
        <v>8.7000000000000001E-4</v>
      </c>
      <c r="O27" s="5">
        <v>9.5E-4</v>
      </c>
      <c r="P27" s="5">
        <v>1.0300000000000001E-3</v>
      </c>
      <c r="Q27" s="5">
        <v>1.1100000000000001E-3</v>
      </c>
      <c r="R27" s="5">
        <v>1.2099999999999999E-3</v>
      </c>
      <c r="S27" s="5">
        <v>1.3699999999999999E-3</v>
      </c>
      <c r="T27" s="5">
        <v>1.56E-3</v>
      </c>
      <c r="U27" s="5">
        <v>1.7600000000000001E-3</v>
      </c>
      <c r="V27" s="5">
        <v>1.98E-3</v>
      </c>
      <c r="W27" s="5">
        <v>2.2100000000000002E-3</v>
      </c>
      <c r="X27" s="5">
        <v>2.4299999999999999E-3</v>
      </c>
      <c r="Y27" s="5">
        <v>2.6099999999999999E-3</v>
      </c>
      <c r="Z27" s="5">
        <v>2.7699999999999999E-3</v>
      </c>
    </row>
    <row r="28" spans="1:26" x14ac:dyDescent="0.3">
      <c r="A28" s="5">
        <v>21</v>
      </c>
      <c r="B28" s="5">
        <v>5.5999999999999995E-4</v>
      </c>
      <c r="C28" s="5">
        <v>5.8E-4</v>
      </c>
      <c r="D28" s="5">
        <v>5.9999999999999995E-4</v>
      </c>
      <c r="E28" s="5">
        <v>6.2E-4</v>
      </c>
      <c r="F28" s="5">
        <v>6.4000000000000005E-4</v>
      </c>
      <c r="G28" s="5">
        <v>6.7000000000000002E-4</v>
      </c>
      <c r="H28" s="5">
        <v>6.8000000000000005E-4</v>
      </c>
      <c r="I28" s="5">
        <v>6.8000000000000005E-4</v>
      </c>
      <c r="J28" s="5">
        <v>6.9999999999999999E-4</v>
      </c>
      <c r="K28" s="5">
        <v>7.2000000000000005E-4</v>
      </c>
      <c r="L28" s="5">
        <v>7.6999999999999996E-4</v>
      </c>
      <c r="M28" s="5">
        <v>8.4000000000000003E-4</v>
      </c>
      <c r="N28" s="5">
        <v>9.1E-4</v>
      </c>
      <c r="O28" s="5">
        <v>9.8999999999999999E-4</v>
      </c>
      <c r="P28" s="5">
        <v>1.08E-3</v>
      </c>
      <c r="Q28" s="5">
        <v>1.17E-3</v>
      </c>
      <c r="R28" s="5">
        <v>1.34E-3</v>
      </c>
      <c r="S28" s="5">
        <v>1.5399999999999999E-3</v>
      </c>
      <c r="T28" s="5">
        <v>1.74E-3</v>
      </c>
      <c r="U28" s="5">
        <v>1.9599999999999999E-3</v>
      </c>
      <c r="V28" s="5">
        <v>2.2000000000000001E-3</v>
      </c>
      <c r="W28" s="5">
        <v>2.4099999999999998E-3</v>
      </c>
      <c r="X28" s="5">
        <v>2.5999999999999999E-3</v>
      </c>
      <c r="Y28" s="5">
        <v>2.7499999999999998E-3</v>
      </c>
      <c r="Z28" s="5">
        <v>2.9199999999999999E-3</v>
      </c>
    </row>
    <row r="29" spans="1:26" x14ac:dyDescent="0.3">
      <c r="A29" s="5">
        <v>22</v>
      </c>
      <c r="B29" s="5">
        <v>5.1999999999999995E-4</v>
      </c>
      <c r="C29" s="5">
        <v>5.2999999999999998E-4</v>
      </c>
      <c r="D29" s="5">
        <v>5.4000000000000001E-4</v>
      </c>
      <c r="E29" s="5">
        <v>5.8E-4</v>
      </c>
      <c r="F29" s="5">
        <v>6.0999999999999997E-4</v>
      </c>
      <c r="G29" s="5">
        <v>6.3000000000000003E-4</v>
      </c>
      <c r="H29" s="5">
        <v>6.4000000000000005E-4</v>
      </c>
      <c r="I29" s="5">
        <v>6.4999999999999997E-4</v>
      </c>
      <c r="J29" s="5">
        <v>6.8999999999999997E-4</v>
      </c>
      <c r="K29" s="5">
        <v>7.3999999999999999E-4</v>
      </c>
      <c r="L29" s="5">
        <v>8.0000000000000004E-4</v>
      </c>
      <c r="M29" s="5">
        <v>8.7000000000000001E-4</v>
      </c>
      <c r="N29" s="5">
        <v>9.5E-4</v>
      </c>
      <c r="O29" s="5">
        <v>1.0399999999999999E-3</v>
      </c>
      <c r="P29" s="5">
        <v>1.14E-3</v>
      </c>
      <c r="Q29" s="5">
        <v>1.31E-3</v>
      </c>
      <c r="R29" s="5">
        <v>1.5200000000000001E-3</v>
      </c>
      <c r="S29" s="5">
        <v>1.72E-3</v>
      </c>
      <c r="T29" s="5">
        <v>1.9400000000000001E-3</v>
      </c>
      <c r="U29" s="5">
        <v>2.1800000000000001E-3</v>
      </c>
      <c r="V29" s="5">
        <v>2.3999999999999998E-3</v>
      </c>
      <c r="W29" s="5">
        <v>2.5799999999999998E-3</v>
      </c>
      <c r="X29" s="5">
        <v>2.7399999999999998E-3</v>
      </c>
      <c r="Y29" s="5">
        <v>2.9099999999999998E-3</v>
      </c>
      <c r="Z29" s="5">
        <v>3.1199999999999999E-3</v>
      </c>
    </row>
    <row r="30" spans="1:26" x14ac:dyDescent="0.3">
      <c r="A30" s="5">
        <v>23</v>
      </c>
      <c r="B30" s="5">
        <v>4.8000000000000001E-4</v>
      </c>
      <c r="C30" s="5">
        <v>4.8999999999999998E-4</v>
      </c>
      <c r="D30" s="5">
        <v>5.1000000000000004E-4</v>
      </c>
      <c r="E30" s="5">
        <v>5.5000000000000003E-4</v>
      </c>
      <c r="F30" s="5">
        <v>5.8E-4</v>
      </c>
      <c r="G30" s="5">
        <v>5.9000000000000003E-4</v>
      </c>
      <c r="H30" s="5">
        <v>6.0999999999999997E-4</v>
      </c>
      <c r="I30" s="5">
        <v>6.4999999999999997E-4</v>
      </c>
      <c r="J30" s="5">
        <v>6.9999999999999999E-4</v>
      </c>
      <c r="K30" s="5">
        <v>7.6000000000000004E-4</v>
      </c>
      <c r="L30" s="5">
        <v>8.4000000000000003E-4</v>
      </c>
      <c r="M30" s="5">
        <v>9.1E-4</v>
      </c>
      <c r="N30" s="5">
        <v>1E-3</v>
      </c>
      <c r="O30" s="5">
        <v>1.1000000000000001E-3</v>
      </c>
      <c r="P30" s="5">
        <v>1.2800000000000001E-3</v>
      </c>
      <c r="Q30" s="5">
        <v>1.5E-3</v>
      </c>
      <c r="R30" s="5">
        <v>1.6900000000000001E-3</v>
      </c>
      <c r="S30" s="5">
        <v>1.91E-3</v>
      </c>
      <c r="T30" s="5">
        <v>2.15E-3</v>
      </c>
      <c r="U30" s="5">
        <v>2.3800000000000002E-3</v>
      </c>
      <c r="V30" s="5">
        <v>2.5699999999999998E-3</v>
      </c>
      <c r="W30" s="5">
        <v>2.7200000000000002E-3</v>
      </c>
      <c r="X30" s="5">
        <v>2.8900000000000002E-3</v>
      </c>
      <c r="Y30" s="5">
        <v>3.0999999999999999E-3</v>
      </c>
      <c r="Z30" s="5">
        <v>3.3300000000000001E-3</v>
      </c>
    </row>
    <row r="31" spans="1:26" x14ac:dyDescent="0.3">
      <c r="A31" s="5">
        <v>24</v>
      </c>
      <c r="B31" s="5">
        <v>4.4000000000000002E-4</v>
      </c>
      <c r="C31" s="5">
        <v>4.6999999999999999E-4</v>
      </c>
      <c r="D31" s="5">
        <v>4.8999999999999998E-4</v>
      </c>
      <c r="E31" s="5">
        <v>5.1999999999999995E-4</v>
      </c>
      <c r="F31" s="5">
        <v>5.5000000000000003E-4</v>
      </c>
      <c r="G31" s="5">
        <v>5.6999999999999998E-4</v>
      </c>
      <c r="H31" s="5">
        <v>6.0999999999999997E-4</v>
      </c>
      <c r="I31" s="5">
        <v>6.6E-4</v>
      </c>
      <c r="J31" s="5">
        <v>7.2999999999999996E-4</v>
      </c>
      <c r="K31" s="5">
        <v>8.0000000000000004E-4</v>
      </c>
      <c r="L31" s="5">
        <v>8.8000000000000003E-4</v>
      </c>
      <c r="M31" s="5">
        <v>9.6000000000000002E-4</v>
      </c>
      <c r="N31" s="5">
        <v>1.06E-3</v>
      </c>
      <c r="O31" s="5">
        <v>1.23E-3</v>
      </c>
      <c r="P31" s="5">
        <v>1.4599999999999999E-3</v>
      </c>
      <c r="Q31" s="5">
        <v>1.66E-3</v>
      </c>
      <c r="R31" s="5">
        <v>1.8799999999999999E-3</v>
      </c>
      <c r="S31" s="5">
        <v>2.1199999999999999E-3</v>
      </c>
      <c r="T31" s="5">
        <v>2.3500000000000001E-3</v>
      </c>
      <c r="U31" s="5">
        <v>2.5500000000000002E-3</v>
      </c>
      <c r="V31" s="5">
        <v>2.7100000000000002E-3</v>
      </c>
      <c r="W31" s="5">
        <v>2.8900000000000002E-3</v>
      </c>
      <c r="X31" s="5">
        <v>3.0899999999999999E-3</v>
      </c>
      <c r="Y31" s="5">
        <v>3.32E-3</v>
      </c>
      <c r="Z31" s="5">
        <v>3.5599999999999998E-3</v>
      </c>
    </row>
    <row r="32" spans="1:26" x14ac:dyDescent="0.3">
      <c r="A32" s="5">
        <v>25</v>
      </c>
      <c r="B32" s="5">
        <v>4.0999999999999999E-4</v>
      </c>
      <c r="C32" s="5">
        <v>4.4999999999999999E-4</v>
      </c>
      <c r="D32" s="5">
        <v>4.6999999999999999E-4</v>
      </c>
      <c r="E32" s="5">
        <v>5.0000000000000001E-4</v>
      </c>
      <c r="F32" s="5">
        <v>5.2999999999999998E-4</v>
      </c>
      <c r="G32" s="5">
        <v>5.6999999999999998E-4</v>
      </c>
      <c r="H32" s="5">
        <v>6.3000000000000003E-4</v>
      </c>
      <c r="I32" s="5">
        <v>6.8999999999999997E-4</v>
      </c>
      <c r="J32" s="5">
        <v>7.6999999999999996E-4</v>
      </c>
      <c r="K32" s="5">
        <v>8.4999999999999995E-4</v>
      </c>
      <c r="L32" s="5">
        <v>9.3000000000000005E-4</v>
      </c>
      <c r="M32" s="5">
        <v>1.0200000000000001E-3</v>
      </c>
      <c r="N32" s="5">
        <v>1.17E-3</v>
      </c>
      <c r="O32" s="5">
        <v>1.41E-3</v>
      </c>
      <c r="P32" s="5">
        <v>1.6199999999999999E-3</v>
      </c>
      <c r="Q32" s="5">
        <v>1.8500000000000001E-3</v>
      </c>
      <c r="R32" s="5">
        <v>2.0899999999999998E-3</v>
      </c>
      <c r="S32" s="5">
        <v>2.32E-3</v>
      </c>
      <c r="T32" s="5">
        <v>2.5300000000000001E-3</v>
      </c>
      <c r="U32" s="5">
        <v>2.7000000000000001E-3</v>
      </c>
      <c r="V32" s="5">
        <v>2.8800000000000002E-3</v>
      </c>
      <c r="W32" s="5">
        <v>3.0899999999999999E-3</v>
      </c>
      <c r="X32" s="5">
        <v>3.31E-3</v>
      </c>
      <c r="Y32" s="5">
        <v>3.5599999999999998E-3</v>
      </c>
      <c r="Z32" s="5">
        <v>3.8300000000000001E-3</v>
      </c>
    </row>
    <row r="33" spans="1:26" x14ac:dyDescent="0.3">
      <c r="A33" s="5">
        <v>26</v>
      </c>
      <c r="B33" s="5">
        <v>3.6999999999999999E-4</v>
      </c>
      <c r="C33" s="5">
        <v>4.2999999999999999E-4</v>
      </c>
      <c r="D33" s="5">
        <v>4.6000000000000001E-4</v>
      </c>
      <c r="E33" s="5">
        <v>4.8999999999999998E-4</v>
      </c>
      <c r="F33" s="5">
        <v>5.2999999999999998E-4</v>
      </c>
      <c r="G33" s="5">
        <v>5.9000000000000003E-4</v>
      </c>
      <c r="H33" s="5">
        <v>6.6E-4</v>
      </c>
      <c r="I33" s="5">
        <v>7.2999999999999996E-4</v>
      </c>
      <c r="J33" s="5">
        <v>8.0999999999999996E-4</v>
      </c>
      <c r="K33" s="5">
        <v>8.9999999999999998E-4</v>
      </c>
      <c r="L33" s="5">
        <v>9.8999999999999999E-4</v>
      </c>
      <c r="M33" s="5">
        <v>1.1000000000000001E-3</v>
      </c>
      <c r="N33" s="5">
        <v>1.33E-3</v>
      </c>
      <c r="O33" s="5">
        <v>1.56E-3</v>
      </c>
      <c r="P33" s="5">
        <v>1.8E-3</v>
      </c>
      <c r="Q33" s="5">
        <v>2.0400000000000001E-3</v>
      </c>
      <c r="R33" s="5">
        <v>2.2799999999999999E-3</v>
      </c>
      <c r="S33" s="5">
        <v>2.5000000000000001E-3</v>
      </c>
      <c r="T33" s="5">
        <v>2.6800000000000001E-3</v>
      </c>
      <c r="U33" s="5">
        <v>2.8800000000000002E-3</v>
      </c>
      <c r="V33" s="5">
        <v>3.0899999999999999E-3</v>
      </c>
      <c r="W33" s="5">
        <v>3.31E-3</v>
      </c>
      <c r="X33" s="5">
        <v>3.5500000000000002E-3</v>
      </c>
      <c r="Y33" s="5">
        <v>3.82E-3</v>
      </c>
      <c r="Z33" s="5">
        <v>4.13E-3</v>
      </c>
    </row>
    <row r="34" spans="1:26" x14ac:dyDescent="0.3">
      <c r="A34" s="5">
        <v>27</v>
      </c>
      <c r="B34" s="5">
        <v>3.4000000000000002E-4</v>
      </c>
      <c r="C34" s="5">
        <v>4.0999999999999999E-4</v>
      </c>
      <c r="D34" s="5">
        <v>4.4999999999999999E-4</v>
      </c>
      <c r="E34" s="5">
        <v>4.8999999999999998E-4</v>
      </c>
      <c r="F34" s="5">
        <v>5.5000000000000003E-4</v>
      </c>
      <c r="G34" s="5">
        <v>6.2E-4</v>
      </c>
      <c r="H34" s="5">
        <v>6.9999999999999999E-4</v>
      </c>
      <c r="I34" s="5">
        <v>7.7999999999999999E-4</v>
      </c>
      <c r="J34" s="5">
        <v>8.7000000000000001E-4</v>
      </c>
      <c r="K34" s="5">
        <v>9.7000000000000005E-4</v>
      </c>
      <c r="L34" s="5">
        <v>1.07E-3</v>
      </c>
      <c r="M34" s="5">
        <v>1.2199999999999999E-3</v>
      </c>
      <c r="N34" s="5">
        <v>1.48E-3</v>
      </c>
      <c r="O34" s="5">
        <v>1.73E-3</v>
      </c>
      <c r="P34" s="5">
        <v>1.98E-3</v>
      </c>
      <c r="Q34" s="5">
        <v>2.2200000000000002E-3</v>
      </c>
      <c r="R34" s="5">
        <v>2.4499999999999999E-3</v>
      </c>
      <c r="S34" s="5">
        <v>2.65E-3</v>
      </c>
      <c r="T34" s="5">
        <v>2.8600000000000001E-3</v>
      </c>
      <c r="U34" s="5">
        <v>3.0799999999999998E-3</v>
      </c>
      <c r="V34" s="5">
        <v>3.3E-3</v>
      </c>
      <c r="W34" s="5">
        <v>3.5500000000000002E-3</v>
      </c>
      <c r="X34" s="5">
        <v>3.82E-3</v>
      </c>
      <c r="Y34" s="5">
        <v>4.1200000000000004E-3</v>
      </c>
      <c r="Z34" s="5">
        <v>4.47E-3</v>
      </c>
    </row>
    <row r="35" spans="1:26" x14ac:dyDescent="0.3">
      <c r="A35" s="5">
        <v>28</v>
      </c>
      <c r="B35" s="5">
        <v>3.2000000000000003E-4</v>
      </c>
      <c r="C35" s="5">
        <v>4.0000000000000002E-4</v>
      </c>
      <c r="D35" s="5">
        <v>4.6999999999999999E-4</v>
      </c>
      <c r="E35" s="5">
        <v>5.1999999999999995E-4</v>
      </c>
      <c r="F35" s="5">
        <v>5.9999999999999995E-4</v>
      </c>
      <c r="G35" s="5">
        <v>6.7000000000000002E-4</v>
      </c>
      <c r="H35" s="5">
        <v>7.5000000000000002E-4</v>
      </c>
      <c r="I35" s="5">
        <v>8.3000000000000001E-4</v>
      </c>
      <c r="J35" s="5">
        <v>9.3000000000000005E-4</v>
      </c>
      <c r="K35" s="5">
        <v>1.0399999999999999E-3</v>
      </c>
      <c r="L35" s="5">
        <v>1.1800000000000001E-3</v>
      </c>
      <c r="M35" s="5">
        <v>1.3500000000000001E-3</v>
      </c>
      <c r="N35" s="5">
        <v>1.6299999999999999E-3</v>
      </c>
      <c r="O35" s="5">
        <v>1.9E-3</v>
      </c>
      <c r="P35" s="5">
        <v>2.14E-3</v>
      </c>
      <c r="Q35" s="5">
        <v>2.3700000000000001E-3</v>
      </c>
      <c r="R35" s="5">
        <v>2.5899999999999999E-3</v>
      </c>
      <c r="S35" s="5">
        <v>2.81E-3</v>
      </c>
      <c r="T35" s="5">
        <v>3.0699999999999998E-3</v>
      </c>
      <c r="U35" s="5">
        <v>3.3E-3</v>
      </c>
      <c r="V35" s="5">
        <v>3.5400000000000002E-3</v>
      </c>
      <c r="W35" s="5">
        <v>3.81E-3</v>
      </c>
      <c r="X35" s="5">
        <v>4.1200000000000004E-3</v>
      </c>
      <c r="Y35" s="5">
        <v>4.4600000000000004E-3</v>
      </c>
      <c r="Z35" s="5">
        <v>4.8500000000000001E-3</v>
      </c>
    </row>
    <row r="36" spans="1:26" x14ac:dyDescent="0.3">
      <c r="A36" s="5">
        <v>29</v>
      </c>
      <c r="B36" s="5">
        <v>3.1E-4</v>
      </c>
      <c r="C36" s="5">
        <v>4.2000000000000002E-4</v>
      </c>
      <c r="D36" s="5">
        <v>5.1000000000000004E-4</v>
      </c>
      <c r="E36" s="5">
        <v>5.8E-4</v>
      </c>
      <c r="F36" s="5">
        <v>6.6E-4</v>
      </c>
      <c r="G36" s="5">
        <v>7.3999999999999999E-4</v>
      </c>
      <c r="H36" s="5">
        <v>8.0999999999999996E-4</v>
      </c>
      <c r="I36" s="5">
        <v>8.9999999999999998E-4</v>
      </c>
      <c r="J36" s="5">
        <v>1.01E-3</v>
      </c>
      <c r="K36" s="5">
        <v>1.15E-3</v>
      </c>
      <c r="L36" s="5">
        <v>1.31E-3</v>
      </c>
      <c r="M36" s="5">
        <v>1.5E-3</v>
      </c>
      <c r="N36" s="5">
        <v>1.7799999999999999E-3</v>
      </c>
      <c r="O36" s="5">
        <v>2.0400000000000001E-3</v>
      </c>
      <c r="P36" s="5">
        <v>2.2599999999999999E-3</v>
      </c>
      <c r="Q36" s="5">
        <v>2.49E-3</v>
      </c>
      <c r="R36" s="5">
        <v>2.7399999999999998E-3</v>
      </c>
      <c r="S36" s="5">
        <v>3.0100000000000001E-3</v>
      </c>
      <c r="T36" s="5">
        <v>3.29E-3</v>
      </c>
      <c r="U36" s="5">
        <v>3.5400000000000002E-3</v>
      </c>
      <c r="V36" s="5">
        <v>3.81E-3</v>
      </c>
      <c r="W36" s="5">
        <v>4.1099999999999999E-3</v>
      </c>
      <c r="X36" s="5">
        <v>4.4600000000000004E-3</v>
      </c>
      <c r="Y36" s="5">
        <v>4.8500000000000001E-3</v>
      </c>
      <c r="Z36" s="5">
        <v>5.28E-3</v>
      </c>
    </row>
    <row r="37" spans="1:26" x14ac:dyDescent="0.3">
      <c r="A37" s="5">
        <v>30</v>
      </c>
      <c r="B37" s="5">
        <v>3.1E-4</v>
      </c>
      <c r="C37" s="5">
        <v>4.4000000000000002E-4</v>
      </c>
      <c r="D37" s="5">
        <v>5.5999999999999995E-4</v>
      </c>
      <c r="E37" s="5">
        <v>6.4999999999999997E-4</v>
      </c>
      <c r="F37" s="5">
        <v>7.2999999999999996E-4</v>
      </c>
      <c r="G37" s="5">
        <v>8.0999999999999996E-4</v>
      </c>
      <c r="H37" s="5">
        <v>8.8000000000000003E-4</v>
      </c>
      <c r="I37" s="5">
        <v>9.7000000000000005E-4</v>
      </c>
      <c r="J37" s="5">
        <v>1.1100000000000001E-3</v>
      </c>
      <c r="K37" s="5">
        <v>1.2800000000000001E-3</v>
      </c>
      <c r="L37" s="5">
        <v>1.4499999999999999E-3</v>
      </c>
      <c r="M37" s="5">
        <v>1.64E-3</v>
      </c>
      <c r="N37" s="5">
        <v>1.91E-3</v>
      </c>
      <c r="O37" s="5">
        <v>2.15E-3</v>
      </c>
      <c r="P37" s="5">
        <v>2.3700000000000001E-3</v>
      </c>
      <c r="Q37" s="5">
        <v>2.6199999999999999E-3</v>
      </c>
      <c r="R37" s="5">
        <v>2.9299999999999999E-3</v>
      </c>
      <c r="S37" s="5">
        <v>3.2299999999999998E-3</v>
      </c>
      <c r="T37" s="5">
        <v>3.5300000000000002E-3</v>
      </c>
      <c r="U37" s="5">
        <v>3.8E-3</v>
      </c>
      <c r="V37" s="5">
        <v>4.1099999999999999E-3</v>
      </c>
      <c r="W37" s="5">
        <v>4.45E-3</v>
      </c>
      <c r="X37" s="5">
        <v>4.8399999999999997E-3</v>
      </c>
      <c r="Y37" s="5">
        <v>5.28E-3</v>
      </c>
      <c r="Z37" s="5">
        <v>5.7600000000000004E-3</v>
      </c>
    </row>
    <row r="38" spans="1:26" x14ac:dyDescent="0.3">
      <c r="A38" s="5">
        <v>31</v>
      </c>
      <c r="B38" s="5">
        <v>3.2000000000000003E-4</v>
      </c>
      <c r="C38" s="5">
        <v>4.6999999999999999E-4</v>
      </c>
      <c r="D38" s="5">
        <v>6.0999999999999997E-4</v>
      </c>
      <c r="E38" s="5">
        <v>7.1000000000000002E-4</v>
      </c>
      <c r="F38" s="5">
        <v>8.0000000000000004E-4</v>
      </c>
      <c r="G38" s="5">
        <v>8.7000000000000001E-4</v>
      </c>
      <c r="H38" s="5">
        <v>9.5E-4</v>
      </c>
      <c r="I38" s="5">
        <v>1.06E-3</v>
      </c>
      <c r="J38" s="5">
        <v>1.23E-3</v>
      </c>
      <c r="K38" s="5">
        <v>1.42E-3</v>
      </c>
      <c r="L38" s="5">
        <v>1.6000000000000001E-3</v>
      </c>
      <c r="M38" s="5">
        <v>1.7700000000000001E-3</v>
      </c>
      <c r="N38" s="5">
        <v>2.0300000000000001E-3</v>
      </c>
      <c r="O38" s="5">
        <v>2.2599999999999999E-3</v>
      </c>
      <c r="P38" s="5">
        <v>2.5000000000000001E-3</v>
      </c>
      <c r="Q38" s="5">
        <v>2.81E-3</v>
      </c>
      <c r="R38" s="5">
        <v>3.15E-3</v>
      </c>
      <c r="S38" s="5">
        <v>3.47E-3</v>
      </c>
      <c r="T38" s="5">
        <v>3.8E-3</v>
      </c>
      <c r="U38" s="5">
        <v>4.1000000000000003E-3</v>
      </c>
      <c r="V38" s="5">
        <v>4.45E-3</v>
      </c>
      <c r="W38" s="5">
        <v>4.8399999999999997E-3</v>
      </c>
      <c r="X38" s="5">
        <v>5.2700000000000004E-3</v>
      </c>
      <c r="Y38" s="5">
        <v>5.7600000000000004E-3</v>
      </c>
      <c r="Z38" s="5">
        <v>6.3099999999999996E-3</v>
      </c>
    </row>
    <row r="39" spans="1:26" x14ac:dyDescent="0.3">
      <c r="A39" s="5">
        <v>32</v>
      </c>
      <c r="B39" s="5">
        <v>3.3E-4</v>
      </c>
      <c r="C39" s="5">
        <v>5.0000000000000001E-4</v>
      </c>
      <c r="D39" s="5">
        <v>6.6E-4</v>
      </c>
      <c r="E39" s="5">
        <v>7.6999999999999996E-4</v>
      </c>
      <c r="F39" s="5">
        <v>8.7000000000000001E-4</v>
      </c>
      <c r="G39" s="5">
        <v>9.3999999999999997E-4</v>
      </c>
      <c r="H39" s="5">
        <v>1.0300000000000001E-3</v>
      </c>
      <c r="I39" s="5">
        <v>1.1800000000000001E-3</v>
      </c>
      <c r="J39" s="5">
        <v>1.3600000000000001E-3</v>
      </c>
      <c r="K39" s="5">
        <v>1.56E-3</v>
      </c>
      <c r="L39" s="5">
        <v>1.74E-3</v>
      </c>
      <c r="M39" s="5">
        <v>1.9E-3</v>
      </c>
      <c r="N39" s="5">
        <v>2.14E-3</v>
      </c>
      <c r="O39" s="5">
        <v>2.3900000000000002E-3</v>
      </c>
      <c r="P39" s="5">
        <v>2.6800000000000001E-3</v>
      </c>
      <c r="Q39" s="5">
        <v>3.0200000000000001E-3</v>
      </c>
      <c r="R39" s="5">
        <v>3.3899999999999998E-3</v>
      </c>
      <c r="S39" s="5">
        <v>3.7299999999999998E-3</v>
      </c>
      <c r="T39" s="5">
        <v>4.1000000000000003E-3</v>
      </c>
      <c r="U39" s="5">
        <v>4.4400000000000004E-3</v>
      </c>
      <c r="V39" s="5">
        <v>4.8300000000000001E-3</v>
      </c>
      <c r="W39" s="5">
        <v>5.2700000000000004E-3</v>
      </c>
      <c r="X39" s="5">
        <v>5.7499999999999999E-3</v>
      </c>
      <c r="Y39" s="5">
        <v>6.3E-3</v>
      </c>
      <c r="Z39" s="5">
        <v>6.9300000000000004E-3</v>
      </c>
    </row>
    <row r="40" spans="1:26" x14ac:dyDescent="0.3">
      <c r="A40" s="5">
        <v>33</v>
      </c>
      <c r="B40" s="5">
        <v>3.3E-4</v>
      </c>
      <c r="C40" s="5">
        <v>5.1999999999999995E-4</v>
      </c>
      <c r="D40" s="5">
        <v>6.9999999999999999E-4</v>
      </c>
      <c r="E40" s="5">
        <v>8.0999999999999996E-4</v>
      </c>
      <c r="F40" s="5">
        <v>9.2000000000000003E-4</v>
      </c>
      <c r="G40" s="5">
        <v>1.0200000000000001E-3</v>
      </c>
      <c r="H40" s="5">
        <v>1.1299999999999999E-3</v>
      </c>
      <c r="I40" s="5">
        <v>1.31E-3</v>
      </c>
      <c r="J40" s="5">
        <v>1.5E-3</v>
      </c>
      <c r="K40" s="5">
        <v>1.6999999999999999E-3</v>
      </c>
      <c r="L40" s="5">
        <v>1.83E-3</v>
      </c>
      <c r="M40" s="5">
        <v>2.0100000000000001E-3</v>
      </c>
      <c r="N40" s="5">
        <v>2.2699999999999999E-3</v>
      </c>
      <c r="O40" s="5">
        <v>2.5699999999999998E-3</v>
      </c>
      <c r="P40" s="5">
        <v>2.8800000000000002E-3</v>
      </c>
      <c r="Q40" s="5">
        <v>3.2499999999999999E-3</v>
      </c>
      <c r="R40" s="5">
        <v>3.65E-3</v>
      </c>
      <c r="S40" s="5">
        <v>4.0400000000000002E-3</v>
      </c>
      <c r="T40" s="5">
        <v>4.4400000000000004E-3</v>
      </c>
      <c r="U40" s="5">
        <v>4.8300000000000001E-3</v>
      </c>
      <c r="V40" s="5">
        <v>5.2599999999999999E-3</v>
      </c>
      <c r="W40" s="5">
        <v>5.7499999999999999E-3</v>
      </c>
      <c r="X40" s="5">
        <v>6.2899999999999996E-3</v>
      </c>
      <c r="Y40" s="5">
        <v>6.9199999999999999E-3</v>
      </c>
      <c r="Z40" s="5">
        <v>7.6400000000000001E-3</v>
      </c>
    </row>
    <row r="41" spans="1:26" x14ac:dyDescent="0.3">
      <c r="A41" s="5">
        <v>34</v>
      </c>
      <c r="B41" s="5">
        <v>3.4000000000000002E-4</v>
      </c>
      <c r="C41" s="5">
        <v>5.4000000000000001E-4</v>
      </c>
      <c r="D41" s="5">
        <v>7.3999999999999999E-4</v>
      </c>
      <c r="E41" s="5">
        <v>8.4999999999999995E-4</v>
      </c>
      <c r="F41" s="5">
        <v>9.7000000000000005E-4</v>
      </c>
      <c r="G41" s="5">
        <v>1.1000000000000001E-3</v>
      </c>
      <c r="H41" s="5">
        <v>1.24E-3</v>
      </c>
      <c r="I41" s="5">
        <v>1.4400000000000001E-3</v>
      </c>
      <c r="J41" s="5">
        <v>1.6299999999999999E-3</v>
      </c>
      <c r="K41" s="5">
        <v>1.7899999999999999E-3</v>
      </c>
      <c r="L41" s="5">
        <v>1.91E-3</v>
      </c>
      <c r="M41" s="5">
        <v>2.15E-3</v>
      </c>
      <c r="N41" s="5">
        <v>2.4499999999999999E-3</v>
      </c>
      <c r="O41" s="5">
        <v>2.7699999999999999E-3</v>
      </c>
      <c r="P41" s="5">
        <v>3.1099999999999999E-3</v>
      </c>
      <c r="Q41" s="5">
        <v>3.5200000000000001E-3</v>
      </c>
      <c r="R41" s="5">
        <v>3.96E-3</v>
      </c>
      <c r="S41" s="5">
        <v>4.3800000000000002E-3</v>
      </c>
      <c r="T41" s="5">
        <v>4.8199999999999996E-3</v>
      </c>
      <c r="U41" s="5">
        <v>5.2599999999999999E-3</v>
      </c>
      <c r="V41" s="5">
        <v>5.7400000000000003E-3</v>
      </c>
      <c r="W41" s="5">
        <v>6.2899999999999996E-3</v>
      </c>
      <c r="X41" s="5">
        <v>6.9100000000000003E-3</v>
      </c>
      <c r="Y41" s="5">
        <v>7.6400000000000001E-3</v>
      </c>
      <c r="Z41" s="5">
        <v>8.4600000000000005E-3</v>
      </c>
    </row>
    <row r="42" spans="1:26" x14ac:dyDescent="0.3">
      <c r="A42" s="5">
        <v>35</v>
      </c>
      <c r="B42" s="5">
        <v>3.5E-4</v>
      </c>
      <c r="C42" s="5">
        <v>5.5999999999999995E-4</v>
      </c>
      <c r="D42" s="5">
        <v>7.7999999999999999E-4</v>
      </c>
      <c r="E42" s="5">
        <v>8.8999999999999995E-4</v>
      </c>
      <c r="F42" s="5">
        <v>1.0300000000000001E-3</v>
      </c>
      <c r="G42" s="5">
        <v>1.1900000000000001E-3</v>
      </c>
      <c r="H42" s="5">
        <v>1.3699999999999999E-3</v>
      </c>
      <c r="I42" s="5">
        <v>1.56E-3</v>
      </c>
      <c r="J42" s="5">
        <v>1.72E-3</v>
      </c>
      <c r="K42" s="5">
        <v>1.8500000000000001E-3</v>
      </c>
      <c r="L42" s="5">
        <v>2.0500000000000002E-3</v>
      </c>
      <c r="M42" s="5">
        <v>2.33E-3</v>
      </c>
      <c r="N42" s="5">
        <v>2.65E-3</v>
      </c>
      <c r="O42" s="5">
        <v>3.0000000000000001E-3</v>
      </c>
      <c r="P42" s="5">
        <v>3.3700000000000002E-3</v>
      </c>
      <c r="Q42" s="5">
        <v>3.82E-3</v>
      </c>
      <c r="R42" s="5">
        <v>4.3E-3</v>
      </c>
      <c r="S42" s="5">
        <v>4.7600000000000003E-3</v>
      </c>
      <c r="T42" s="5">
        <v>5.2500000000000003E-3</v>
      </c>
      <c r="U42" s="5">
        <v>5.7299999999999999E-3</v>
      </c>
      <c r="V42" s="5">
        <v>6.28E-3</v>
      </c>
      <c r="W42" s="5">
        <v>6.8999999999999999E-3</v>
      </c>
      <c r="X42" s="5">
        <v>7.6299999999999996E-3</v>
      </c>
      <c r="Y42" s="5">
        <v>8.4499999999999992E-3</v>
      </c>
      <c r="Z42" s="5">
        <v>9.3799999999999994E-3</v>
      </c>
    </row>
    <row r="43" spans="1:26" x14ac:dyDescent="0.3">
      <c r="A43" s="5">
        <v>36</v>
      </c>
      <c r="B43" s="5">
        <v>3.6999999999999999E-4</v>
      </c>
      <c r="C43" s="5">
        <v>5.9000000000000003E-4</v>
      </c>
      <c r="D43" s="5">
        <v>8.4000000000000003E-4</v>
      </c>
      <c r="E43" s="5">
        <v>9.6000000000000002E-4</v>
      </c>
      <c r="F43" s="5">
        <v>1.1199999999999999E-3</v>
      </c>
      <c r="G43" s="5">
        <v>1.2999999999999999E-3</v>
      </c>
      <c r="H43" s="5">
        <v>1.49E-3</v>
      </c>
      <c r="I43" s="5">
        <v>1.65E-3</v>
      </c>
      <c r="J43" s="5">
        <v>1.7600000000000001E-3</v>
      </c>
      <c r="K43" s="5">
        <v>1.97E-3</v>
      </c>
      <c r="L43" s="5">
        <v>2.2399999999999998E-3</v>
      </c>
      <c r="M43" s="5">
        <v>2.5300000000000001E-3</v>
      </c>
      <c r="N43" s="5">
        <v>2.8800000000000002E-3</v>
      </c>
      <c r="O43" s="5">
        <v>3.2599999999999999E-3</v>
      </c>
      <c r="P43" s="5">
        <v>3.6700000000000001E-3</v>
      </c>
      <c r="Q43" s="5">
        <v>4.1599999999999996E-3</v>
      </c>
      <c r="R43" s="5">
        <v>4.6800000000000001E-3</v>
      </c>
      <c r="S43" s="5">
        <v>5.1799999999999997E-3</v>
      </c>
      <c r="T43" s="5">
        <v>5.7299999999999999E-3</v>
      </c>
      <c r="U43" s="5">
        <v>6.2700000000000004E-3</v>
      </c>
      <c r="V43" s="5">
        <v>6.8900000000000003E-3</v>
      </c>
      <c r="W43" s="5">
        <v>7.62E-3</v>
      </c>
      <c r="X43" s="5">
        <v>8.4499999999999992E-3</v>
      </c>
      <c r="Y43" s="5">
        <v>9.3799999999999994E-3</v>
      </c>
      <c r="Z43" s="5">
        <v>1.0449999999999999E-2</v>
      </c>
    </row>
    <row r="44" spans="1:26" x14ac:dyDescent="0.3">
      <c r="A44" s="5">
        <v>37</v>
      </c>
      <c r="B44" s="5">
        <v>3.8999999999999999E-4</v>
      </c>
      <c r="C44" s="5">
        <v>6.4000000000000005E-4</v>
      </c>
      <c r="D44" s="5">
        <v>9.1E-4</v>
      </c>
      <c r="E44" s="5">
        <v>1.06E-3</v>
      </c>
      <c r="F44" s="5">
        <v>1.23E-3</v>
      </c>
      <c r="G44" s="5">
        <v>1.41E-3</v>
      </c>
      <c r="H44" s="5">
        <v>1.58E-3</v>
      </c>
      <c r="I44" s="5">
        <v>1.6900000000000001E-3</v>
      </c>
      <c r="J44" s="5">
        <v>1.8699999999999999E-3</v>
      </c>
      <c r="K44" s="5">
        <v>2.16E-3</v>
      </c>
      <c r="L44" s="5">
        <v>2.4499999999999999E-3</v>
      </c>
      <c r="M44" s="5">
        <v>2.7599999999999999E-3</v>
      </c>
      <c r="N44" s="5">
        <v>3.15E-3</v>
      </c>
      <c r="O44" s="5">
        <v>3.5699999999999998E-3</v>
      </c>
      <c r="P44" s="5">
        <v>4.0200000000000001E-3</v>
      </c>
      <c r="Q44" s="5">
        <v>4.5399999999999998E-3</v>
      </c>
      <c r="R44" s="5">
        <v>5.11E-3</v>
      </c>
      <c r="S44" s="5">
        <v>5.6600000000000001E-3</v>
      </c>
      <c r="T44" s="5">
        <v>6.2599999999999999E-3</v>
      </c>
      <c r="U44" s="5">
        <v>6.8799999999999998E-3</v>
      </c>
      <c r="V44" s="5">
        <v>7.62E-3</v>
      </c>
      <c r="W44" s="5">
        <v>8.4399999999999996E-3</v>
      </c>
      <c r="X44" s="5">
        <v>9.3699999999999999E-3</v>
      </c>
      <c r="Y44" s="5">
        <v>1.044E-2</v>
      </c>
      <c r="Z44" s="5">
        <v>1.166E-2</v>
      </c>
    </row>
    <row r="45" spans="1:26" x14ac:dyDescent="0.3">
      <c r="A45" s="5">
        <v>38</v>
      </c>
      <c r="B45" s="5">
        <v>4.2000000000000002E-4</v>
      </c>
      <c r="C45" s="5">
        <v>6.9999999999999999E-4</v>
      </c>
      <c r="D45" s="5">
        <v>1E-3</v>
      </c>
      <c r="E45" s="5">
        <v>1.16E-3</v>
      </c>
      <c r="F45" s="5">
        <v>1.33E-3</v>
      </c>
      <c r="G45" s="5">
        <v>1.5E-3</v>
      </c>
      <c r="H45" s="5">
        <v>1.6299999999999999E-3</v>
      </c>
      <c r="I45" s="5">
        <v>1.8E-3</v>
      </c>
      <c r="J45" s="5">
        <v>2.0699999999999998E-3</v>
      </c>
      <c r="K45" s="5">
        <v>2.3800000000000002E-3</v>
      </c>
      <c r="L45" s="5">
        <v>2.6900000000000001E-3</v>
      </c>
      <c r="M45" s="5">
        <v>3.0300000000000001E-3</v>
      </c>
      <c r="N45" s="5">
        <v>3.46E-3</v>
      </c>
      <c r="O45" s="5">
        <v>3.9199999999999999E-3</v>
      </c>
      <c r="P45" s="5">
        <v>4.4099999999999999E-3</v>
      </c>
      <c r="Q45" s="5">
        <v>4.9800000000000001E-3</v>
      </c>
      <c r="R45" s="5">
        <v>5.5900000000000004E-3</v>
      </c>
      <c r="S45" s="5">
        <v>6.1900000000000002E-3</v>
      </c>
      <c r="T45" s="5">
        <v>6.8700000000000002E-3</v>
      </c>
      <c r="U45" s="5">
        <v>7.6099999999999996E-3</v>
      </c>
      <c r="V45" s="5">
        <v>8.4399999999999996E-3</v>
      </c>
      <c r="W45" s="5">
        <v>9.3699999999999999E-3</v>
      </c>
      <c r="X45" s="5">
        <v>1.044E-2</v>
      </c>
      <c r="Y45" s="5">
        <v>1.166E-2</v>
      </c>
      <c r="Z45" s="5">
        <v>1.303E-2</v>
      </c>
    </row>
    <row r="46" spans="1:26" x14ac:dyDescent="0.3">
      <c r="A46" s="5">
        <v>39</v>
      </c>
      <c r="B46" s="5">
        <v>4.6000000000000001E-4</v>
      </c>
      <c r="C46" s="5">
        <v>7.6999999999999996E-4</v>
      </c>
      <c r="D46" s="5">
        <v>1.09E-3</v>
      </c>
      <c r="E46" s="5">
        <v>1.2600000000000001E-3</v>
      </c>
      <c r="F46" s="5">
        <v>1.4300000000000001E-3</v>
      </c>
      <c r="G46" s="5">
        <v>1.56E-3</v>
      </c>
      <c r="H46" s="5">
        <v>1.74E-3</v>
      </c>
      <c r="I46" s="5">
        <v>2E-3</v>
      </c>
      <c r="J46" s="5">
        <v>2.3E-3</v>
      </c>
      <c r="K46" s="5">
        <v>2.63E-3</v>
      </c>
      <c r="L46" s="5">
        <v>2.97E-3</v>
      </c>
      <c r="M46" s="5">
        <v>3.3500000000000001E-3</v>
      </c>
      <c r="N46" s="5">
        <v>3.82E-3</v>
      </c>
      <c r="O46" s="5">
        <v>4.3299999999999996E-3</v>
      </c>
      <c r="P46" s="5">
        <v>4.8700000000000002E-3</v>
      </c>
      <c r="Q46" s="5">
        <v>5.4799999999999996E-3</v>
      </c>
      <c r="R46" s="5">
        <v>6.13E-3</v>
      </c>
      <c r="S46" s="5">
        <v>6.79E-3</v>
      </c>
      <c r="T46" s="5">
        <v>7.6E-3</v>
      </c>
      <c r="U46" s="5">
        <v>8.43E-3</v>
      </c>
      <c r="V46" s="5">
        <v>9.3600000000000003E-3</v>
      </c>
      <c r="W46" s="5">
        <v>1.044E-2</v>
      </c>
      <c r="X46" s="5">
        <v>1.166E-2</v>
      </c>
      <c r="Y46" s="5">
        <v>1.302E-2</v>
      </c>
      <c r="Z46" s="5">
        <v>1.452E-2</v>
      </c>
    </row>
    <row r="47" spans="1:26" x14ac:dyDescent="0.3">
      <c r="A47" s="5">
        <v>40</v>
      </c>
      <c r="B47" s="5">
        <v>5.1000000000000004E-4</v>
      </c>
      <c r="C47" s="5">
        <v>8.4999999999999995E-4</v>
      </c>
      <c r="D47" s="5">
        <v>1.1800000000000001E-3</v>
      </c>
      <c r="E47" s="5">
        <v>1.3500000000000001E-3</v>
      </c>
      <c r="F47" s="5">
        <v>1.5E-3</v>
      </c>
      <c r="G47" s="5">
        <v>1.6800000000000001E-3</v>
      </c>
      <c r="H47" s="5">
        <v>1.9400000000000001E-3</v>
      </c>
      <c r="I47" s="5">
        <v>2.2300000000000002E-3</v>
      </c>
      <c r="J47" s="5">
        <v>2.5500000000000002E-3</v>
      </c>
      <c r="K47" s="5">
        <v>2.9099999999999998E-3</v>
      </c>
      <c r="L47" s="5">
        <v>3.29E-3</v>
      </c>
      <c r="M47" s="5">
        <v>3.7100000000000002E-3</v>
      </c>
      <c r="N47" s="5">
        <v>4.2300000000000003E-3</v>
      </c>
      <c r="O47" s="5">
        <v>4.7999999999999996E-3</v>
      </c>
      <c r="P47" s="5">
        <v>5.3899999999999998E-3</v>
      </c>
      <c r="Q47" s="5">
        <v>6.0400000000000002E-3</v>
      </c>
      <c r="R47" s="5">
        <v>6.7299999999999999E-3</v>
      </c>
      <c r="S47" s="5">
        <v>7.5599999999999999E-3</v>
      </c>
      <c r="T47" s="5">
        <v>8.43E-3</v>
      </c>
      <c r="U47" s="5">
        <v>9.3600000000000003E-3</v>
      </c>
      <c r="V47" s="5">
        <v>1.044E-2</v>
      </c>
      <c r="W47" s="5">
        <v>1.1650000000000001E-2</v>
      </c>
      <c r="X47" s="5">
        <v>1.302E-2</v>
      </c>
      <c r="Y47" s="5">
        <v>1.452E-2</v>
      </c>
      <c r="Z47" s="5">
        <v>1.617E-2</v>
      </c>
    </row>
    <row r="48" spans="1:26" x14ac:dyDescent="0.3">
      <c r="A48" s="5">
        <v>41</v>
      </c>
      <c r="B48" s="5">
        <v>5.5999999999999995E-4</v>
      </c>
      <c r="C48" s="5">
        <v>9.3000000000000005E-4</v>
      </c>
      <c r="D48" s="5">
        <v>1.25E-3</v>
      </c>
      <c r="E48" s="5">
        <v>1.4400000000000001E-3</v>
      </c>
      <c r="F48" s="5">
        <v>1.6199999999999999E-3</v>
      </c>
      <c r="G48" s="5">
        <v>1.8799999999999999E-3</v>
      </c>
      <c r="H48" s="5">
        <v>2.1800000000000001E-3</v>
      </c>
      <c r="I48" s="5">
        <v>2.49E-3</v>
      </c>
      <c r="J48" s="5">
        <v>2.8300000000000001E-3</v>
      </c>
      <c r="K48" s="5">
        <v>3.2299999999999998E-3</v>
      </c>
      <c r="L48" s="5">
        <v>3.64E-3</v>
      </c>
      <c r="M48" s="5">
        <v>4.1200000000000004E-3</v>
      </c>
      <c r="N48" s="5">
        <v>4.7099999999999998E-3</v>
      </c>
      <c r="O48" s="5">
        <v>5.3299999999999997E-3</v>
      </c>
      <c r="P48" s="5">
        <v>5.9699999999999996E-3</v>
      </c>
      <c r="Q48" s="5">
        <v>6.6600000000000001E-3</v>
      </c>
      <c r="R48" s="5">
        <v>7.5300000000000002E-3</v>
      </c>
      <c r="S48" s="5">
        <v>8.43E-3</v>
      </c>
      <c r="T48" s="5">
        <v>9.3600000000000003E-3</v>
      </c>
      <c r="U48" s="5">
        <v>1.043E-2</v>
      </c>
      <c r="V48" s="5">
        <v>1.1650000000000001E-2</v>
      </c>
      <c r="W48" s="5">
        <v>1.302E-2</v>
      </c>
      <c r="X48" s="5">
        <v>1.451E-2</v>
      </c>
      <c r="Y48" s="5">
        <v>1.6160000000000001E-2</v>
      </c>
      <c r="Z48" s="5">
        <v>1.797E-2</v>
      </c>
    </row>
    <row r="49" spans="1:26" x14ac:dyDescent="0.3">
      <c r="A49" s="5">
        <v>42</v>
      </c>
      <c r="B49" s="5">
        <v>6.0999999999999997E-4</v>
      </c>
      <c r="C49" s="5">
        <v>1.01E-3</v>
      </c>
      <c r="D49" s="5">
        <v>1.32E-3</v>
      </c>
      <c r="E49" s="5">
        <v>1.5399999999999999E-3</v>
      </c>
      <c r="F49" s="5">
        <v>1.8E-3</v>
      </c>
      <c r="G49" s="5">
        <v>2.0999999999999999E-3</v>
      </c>
      <c r="H49" s="5">
        <v>2.4299999999999999E-3</v>
      </c>
      <c r="I49" s="5">
        <v>2.7799999999999999E-3</v>
      </c>
      <c r="J49" s="5">
        <v>3.15E-3</v>
      </c>
      <c r="K49" s="5">
        <v>3.5799999999999998E-3</v>
      </c>
      <c r="L49" s="5">
        <v>4.0499999999999998E-3</v>
      </c>
      <c r="M49" s="5">
        <v>4.5900000000000003E-3</v>
      </c>
      <c r="N49" s="5">
        <v>5.2500000000000003E-3</v>
      </c>
      <c r="O49" s="5">
        <v>5.9300000000000004E-3</v>
      </c>
      <c r="P49" s="5">
        <v>6.62E-3</v>
      </c>
      <c r="Q49" s="5">
        <v>7.45E-3</v>
      </c>
      <c r="R49" s="5">
        <v>8.4200000000000004E-3</v>
      </c>
      <c r="S49" s="5">
        <v>9.3500000000000007E-3</v>
      </c>
      <c r="T49" s="5">
        <v>1.043E-2</v>
      </c>
      <c r="U49" s="5">
        <v>1.1650000000000001E-2</v>
      </c>
      <c r="V49" s="5">
        <v>1.302E-2</v>
      </c>
      <c r="W49" s="5">
        <v>1.451E-2</v>
      </c>
      <c r="X49" s="5">
        <v>1.6140000000000002E-2</v>
      </c>
      <c r="Y49" s="5">
        <v>1.797E-2</v>
      </c>
      <c r="Z49" s="5">
        <v>1.9890000000000001E-2</v>
      </c>
    </row>
    <row r="50" spans="1:26" x14ac:dyDescent="0.3">
      <c r="A50" s="5">
        <v>43</v>
      </c>
      <c r="B50" s="5">
        <v>6.6E-4</v>
      </c>
      <c r="C50" s="5">
        <v>1.08E-3</v>
      </c>
      <c r="D50" s="5">
        <v>1.41E-3</v>
      </c>
      <c r="E50" s="5">
        <v>1.6900000000000001E-3</v>
      </c>
      <c r="F50" s="5">
        <v>2E-3</v>
      </c>
      <c r="G50" s="5">
        <v>2.3500000000000001E-3</v>
      </c>
      <c r="H50" s="5">
        <v>2.7200000000000002E-3</v>
      </c>
      <c r="I50" s="5">
        <v>3.0899999999999999E-3</v>
      </c>
      <c r="J50" s="5">
        <v>3.5000000000000001E-3</v>
      </c>
      <c r="K50" s="5">
        <v>3.98E-3</v>
      </c>
      <c r="L50" s="5">
        <v>4.5100000000000001E-3</v>
      </c>
      <c r="M50" s="5">
        <v>5.1200000000000004E-3</v>
      </c>
      <c r="N50" s="5">
        <v>5.8500000000000002E-3</v>
      </c>
      <c r="O50" s="5">
        <v>6.6E-3</v>
      </c>
      <c r="P50" s="5">
        <v>7.3899999999999999E-3</v>
      </c>
      <c r="Q50" s="5">
        <v>8.3700000000000007E-3</v>
      </c>
      <c r="R50" s="5">
        <v>9.3500000000000007E-3</v>
      </c>
      <c r="S50" s="5">
        <v>1.043E-2</v>
      </c>
      <c r="T50" s="5">
        <v>1.1650000000000001E-2</v>
      </c>
      <c r="U50" s="5">
        <v>1.302E-2</v>
      </c>
      <c r="V50" s="5">
        <v>1.451E-2</v>
      </c>
      <c r="W50" s="5">
        <v>1.6129999999999999E-2</v>
      </c>
      <c r="X50" s="5">
        <v>1.796E-2</v>
      </c>
      <c r="Y50" s="5">
        <v>1.9890000000000001E-2</v>
      </c>
      <c r="Z50" s="5">
        <v>2.189E-2</v>
      </c>
    </row>
    <row r="51" spans="1:26" x14ac:dyDescent="0.3">
      <c r="A51" s="5">
        <v>44</v>
      </c>
      <c r="B51" s="5">
        <v>6.9999999999999999E-4</v>
      </c>
      <c r="C51" s="5">
        <v>1.16E-3</v>
      </c>
      <c r="D51" s="5">
        <v>1.5299999999999999E-3</v>
      </c>
      <c r="E51" s="5">
        <v>1.8600000000000001E-3</v>
      </c>
      <c r="F51" s="5">
        <v>2.2300000000000002E-3</v>
      </c>
      <c r="G51" s="5">
        <v>2.63E-3</v>
      </c>
      <c r="H51" s="5">
        <v>3.0300000000000001E-3</v>
      </c>
      <c r="I51" s="5">
        <v>3.4299999999999999E-3</v>
      </c>
      <c r="J51" s="5">
        <v>3.8800000000000002E-3</v>
      </c>
      <c r="K51" s="5">
        <v>4.4400000000000004E-3</v>
      </c>
      <c r="L51" s="5">
        <v>5.0400000000000002E-3</v>
      </c>
      <c r="M51" s="5">
        <v>5.7299999999999999E-3</v>
      </c>
      <c r="N51" s="5">
        <v>6.5500000000000003E-3</v>
      </c>
      <c r="O51" s="5">
        <v>7.3699999999999998E-3</v>
      </c>
      <c r="P51" s="5">
        <v>8.2799999999999992E-3</v>
      </c>
      <c r="Q51" s="5">
        <v>9.3399999999999993E-3</v>
      </c>
      <c r="R51" s="5">
        <v>1.043E-2</v>
      </c>
      <c r="S51" s="5">
        <v>1.1650000000000001E-2</v>
      </c>
      <c r="T51" s="5">
        <v>1.302E-2</v>
      </c>
      <c r="U51" s="5">
        <v>1.4500000000000001E-2</v>
      </c>
      <c r="V51" s="5">
        <v>1.6119999999999999E-2</v>
      </c>
      <c r="W51" s="5">
        <v>1.7950000000000001E-2</v>
      </c>
      <c r="X51" s="5">
        <v>1.9879999999999998E-2</v>
      </c>
      <c r="Y51" s="5">
        <v>2.189E-2</v>
      </c>
      <c r="Z51" s="5">
        <v>2.4029999999999999E-2</v>
      </c>
    </row>
    <row r="52" spans="1:26" x14ac:dyDescent="0.3">
      <c r="A52" s="5">
        <v>45</v>
      </c>
      <c r="B52" s="5">
        <v>7.5000000000000002E-4</v>
      </c>
      <c r="C52" s="5">
        <v>1.25E-3</v>
      </c>
      <c r="D52" s="5">
        <v>1.67E-3</v>
      </c>
      <c r="E52" s="5">
        <v>2.0600000000000002E-3</v>
      </c>
      <c r="F52" s="5">
        <v>2.49E-3</v>
      </c>
      <c r="G52" s="5">
        <v>2.9299999999999999E-3</v>
      </c>
      <c r="H52" s="5">
        <v>3.3600000000000001E-3</v>
      </c>
      <c r="I52" s="5">
        <v>3.81E-3</v>
      </c>
      <c r="J52" s="5">
        <v>4.3200000000000001E-3</v>
      </c>
      <c r="K52" s="5">
        <v>4.9500000000000004E-3</v>
      </c>
      <c r="L52" s="5">
        <v>5.64E-3</v>
      </c>
      <c r="M52" s="5">
        <v>6.43E-3</v>
      </c>
      <c r="N52" s="5">
        <v>7.3299999999999997E-3</v>
      </c>
      <c r="O52" s="5">
        <v>8.2500000000000004E-3</v>
      </c>
      <c r="P52" s="5">
        <v>9.2700000000000005E-3</v>
      </c>
      <c r="Q52" s="5">
        <v>1.042E-2</v>
      </c>
      <c r="R52" s="5">
        <v>1.1650000000000001E-2</v>
      </c>
      <c r="S52" s="5">
        <v>1.302E-2</v>
      </c>
      <c r="T52" s="5">
        <v>1.4500000000000001E-2</v>
      </c>
      <c r="U52" s="5">
        <v>1.6109999999999999E-2</v>
      </c>
      <c r="V52" s="5">
        <v>1.7940000000000001E-2</v>
      </c>
      <c r="W52" s="5">
        <v>1.9879999999999998E-2</v>
      </c>
      <c r="X52" s="5">
        <v>2.188E-2</v>
      </c>
      <c r="Y52" s="5">
        <v>2.402E-2</v>
      </c>
      <c r="Z52" s="5">
        <v>2.6370000000000001E-2</v>
      </c>
    </row>
    <row r="53" spans="1:26" x14ac:dyDescent="0.3">
      <c r="A53" s="5">
        <v>46</v>
      </c>
      <c r="B53" s="5">
        <v>8.1999999999999998E-4</v>
      </c>
      <c r="C53" s="5">
        <v>1.3600000000000001E-3</v>
      </c>
      <c r="D53" s="5">
        <v>1.82E-3</v>
      </c>
      <c r="E53" s="5">
        <v>2.2899999999999999E-3</v>
      </c>
      <c r="F53" s="5">
        <v>2.7799999999999999E-3</v>
      </c>
      <c r="G53" s="5">
        <v>3.2699999999999999E-3</v>
      </c>
      <c r="H53" s="5">
        <v>3.7299999999999998E-3</v>
      </c>
      <c r="I53" s="5">
        <v>4.2199999999999998E-3</v>
      </c>
      <c r="J53" s="5">
        <v>4.81E-3</v>
      </c>
      <c r="K53" s="5">
        <v>5.5399999999999998E-3</v>
      </c>
      <c r="L53" s="5">
        <v>6.3299999999999997E-3</v>
      </c>
      <c r="M53" s="5">
        <v>7.2700000000000004E-3</v>
      </c>
      <c r="N53" s="5">
        <v>8.2299999999999995E-3</v>
      </c>
      <c r="O53" s="5">
        <v>9.2599999999999991E-3</v>
      </c>
      <c r="P53" s="5">
        <v>1.039E-2</v>
      </c>
      <c r="Q53" s="5">
        <v>1.1639999999999999E-2</v>
      </c>
      <c r="R53" s="5">
        <v>1.302E-2</v>
      </c>
      <c r="S53" s="5">
        <v>1.4489999999999999E-2</v>
      </c>
      <c r="T53" s="5">
        <v>1.609E-2</v>
      </c>
      <c r="U53" s="5">
        <v>1.7930000000000001E-2</v>
      </c>
      <c r="V53" s="5">
        <v>1.9879999999999998E-2</v>
      </c>
      <c r="W53" s="5">
        <v>2.188E-2</v>
      </c>
      <c r="X53" s="5">
        <v>2.401E-2</v>
      </c>
      <c r="Y53" s="5">
        <v>2.6329999999999999E-2</v>
      </c>
      <c r="Z53" s="5">
        <v>2.9020000000000001E-2</v>
      </c>
    </row>
    <row r="54" spans="1:26" x14ac:dyDescent="0.3">
      <c r="A54" s="5">
        <v>47</v>
      </c>
      <c r="B54" s="5">
        <v>8.8999999999999995E-4</v>
      </c>
      <c r="C54" s="5">
        <v>1.48E-3</v>
      </c>
      <c r="D54" s="5">
        <v>2.0100000000000001E-3</v>
      </c>
      <c r="E54" s="5">
        <v>2.5600000000000002E-3</v>
      </c>
      <c r="F54" s="5">
        <v>3.1099999999999999E-3</v>
      </c>
      <c r="G54" s="5">
        <v>3.63E-3</v>
      </c>
      <c r="H54" s="5">
        <v>4.13E-3</v>
      </c>
      <c r="I54" s="5">
        <v>4.6800000000000001E-3</v>
      </c>
      <c r="J54" s="5">
        <v>5.3600000000000002E-3</v>
      </c>
      <c r="K54" s="5">
        <v>6.2100000000000002E-3</v>
      </c>
      <c r="L54" s="5">
        <v>7.2199999999999999E-3</v>
      </c>
      <c r="M54" s="5">
        <v>8.2199999999999999E-3</v>
      </c>
      <c r="N54" s="5">
        <v>9.2499999999999995E-3</v>
      </c>
      <c r="O54" s="5">
        <v>1.039E-2</v>
      </c>
      <c r="P54" s="5">
        <v>1.1639999999999999E-2</v>
      </c>
      <c r="Q54" s="5">
        <v>1.302E-2</v>
      </c>
      <c r="R54" s="5">
        <v>1.4489999999999999E-2</v>
      </c>
      <c r="S54" s="5">
        <v>1.6080000000000001E-2</v>
      </c>
      <c r="T54" s="5">
        <v>1.7919999999999998E-2</v>
      </c>
      <c r="U54" s="5">
        <v>1.9879999999999998E-2</v>
      </c>
      <c r="V54" s="5">
        <v>2.1870000000000001E-2</v>
      </c>
      <c r="W54" s="5">
        <v>2.4E-2</v>
      </c>
      <c r="X54" s="5">
        <v>2.6290000000000001E-2</v>
      </c>
      <c r="Y54" s="5">
        <v>2.896E-2</v>
      </c>
      <c r="Z54" s="5">
        <v>3.2059999999999998E-2</v>
      </c>
    </row>
    <row r="55" spans="1:26" x14ac:dyDescent="0.3">
      <c r="A55" s="5">
        <v>48</v>
      </c>
      <c r="B55" s="5">
        <v>9.7000000000000005E-4</v>
      </c>
      <c r="C55" s="5">
        <v>1.6100000000000001E-3</v>
      </c>
      <c r="D55" s="5">
        <v>2.2399999999999998E-3</v>
      </c>
      <c r="E55" s="5">
        <v>2.8800000000000002E-3</v>
      </c>
      <c r="F55" s="5">
        <v>3.49E-3</v>
      </c>
      <c r="G55" s="5">
        <v>4.0299999999999997E-3</v>
      </c>
      <c r="H55" s="5">
        <v>4.5799999999999999E-3</v>
      </c>
      <c r="I55" s="5">
        <v>5.1999999999999998E-3</v>
      </c>
      <c r="J55" s="5">
        <v>5.9899999999999997E-3</v>
      </c>
      <c r="K55" s="5">
        <v>7.1500000000000001E-3</v>
      </c>
      <c r="L55" s="5">
        <v>8.2199999999999999E-3</v>
      </c>
      <c r="M55" s="5">
        <v>9.2300000000000004E-3</v>
      </c>
      <c r="N55" s="5">
        <v>1.039E-2</v>
      </c>
      <c r="O55" s="5">
        <v>1.1639999999999999E-2</v>
      </c>
      <c r="P55" s="5">
        <v>1.302E-2</v>
      </c>
      <c r="Q55" s="5">
        <v>1.4489999999999999E-2</v>
      </c>
      <c r="R55" s="5">
        <v>1.6070000000000001E-2</v>
      </c>
      <c r="S55" s="5">
        <v>1.7909999999999999E-2</v>
      </c>
      <c r="T55" s="5">
        <v>1.9869999999999999E-2</v>
      </c>
      <c r="U55" s="5">
        <v>2.1870000000000001E-2</v>
      </c>
      <c r="V55" s="5">
        <v>2.3980000000000001E-2</v>
      </c>
      <c r="W55" s="5">
        <v>2.6239999999999999E-2</v>
      </c>
      <c r="X55" s="5">
        <v>2.8899999999999999E-2</v>
      </c>
      <c r="Y55" s="5">
        <v>3.2000000000000001E-2</v>
      </c>
      <c r="Z55" s="5">
        <v>3.5439999999999999E-2</v>
      </c>
    </row>
    <row r="56" spans="1:26" x14ac:dyDescent="0.3">
      <c r="A56" s="5">
        <v>49</v>
      </c>
      <c r="B56" s="5">
        <v>1.06E-3</v>
      </c>
      <c r="C56" s="5">
        <v>1.7600000000000001E-3</v>
      </c>
      <c r="D56" s="5">
        <v>2.5000000000000001E-3</v>
      </c>
      <c r="E56" s="5">
        <v>3.2599999999999999E-3</v>
      </c>
      <c r="F56" s="5">
        <v>3.8999999999999998E-3</v>
      </c>
      <c r="G56" s="5">
        <v>4.4799999999999996E-3</v>
      </c>
      <c r="H56" s="5">
        <v>5.0699999999999999E-3</v>
      </c>
      <c r="I56" s="5">
        <v>5.79E-3</v>
      </c>
      <c r="J56" s="5">
        <v>7.0299999999999998E-3</v>
      </c>
      <c r="K56" s="5">
        <v>8.2199999999999999E-3</v>
      </c>
      <c r="L56" s="5">
        <v>9.2099999999999994E-3</v>
      </c>
      <c r="M56" s="5">
        <v>1.0359999999999999E-2</v>
      </c>
      <c r="N56" s="5">
        <v>1.1639999999999999E-2</v>
      </c>
      <c r="O56" s="5">
        <v>1.302E-2</v>
      </c>
      <c r="P56" s="5">
        <v>1.448E-2</v>
      </c>
      <c r="Q56" s="5">
        <v>1.6060000000000001E-2</v>
      </c>
      <c r="R56" s="5">
        <v>1.7899999999999999E-2</v>
      </c>
      <c r="S56" s="5">
        <v>1.9869999999999999E-2</v>
      </c>
      <c r="T56" s="5">
        <v>2.1870000000000001E-2</v>
      </c>
      <c r="U56" s="5">
        <v>2.3970000000000002E-2</v>
      </c>
      <c r="V56" s="5">
        <v>2.6200000000000001E-2</v>
      </c>
      <c r="W56" s="5">
        <v>2.8840000000000001E-2</v>
      </c>
      <c r="X56" s="5">
        <v>3.1940000000000003E-2</v>
      </c>
      <c r="Y56" s="5">
        <v>3.5400000000000001E-2</v>
      </c>
      <c r="Z56" s="5">
        <v>3.9019999999999999E-2</v>
      </c>
    </row>
    <row r="57" spans="1:26" x14ac:dyDescent="0.3">
      <c r="A57" s="5">
        <v>50</v>
      </c>
      <c r="B57" s="5">
        <v>1.16E-3</v>
      </c>
      <c r="C57" s="5">
        <v>1.9300000000000001E-3</v>
      </c>
      <c r="D57" s="5">
        <v>2.81E-3</v>
      </c>
      <c r="E57" s="5">
        <v>3.6900000000000001E-3</v>
      </c>
      <c r="F57" s="5">
        <v>4.3800000000000002E-3</v>
      </c>
      <c r="G57" s="5">
        <v>4.9699999999999996E-3</v>
      </c>
      <c r="H57" s="5">
        <v>5.6899999999999997E-3</v>
      </c>
      <c r="I57" s="5">
        <v>6.8399999999999997E-3</v>
      </c>
      <c r="J57" s="5">
        <v>8.2100000000000003E-3</v>
      </c>
      <c r="K57" s="5">
        <v>9.1999999999999998E-3</v>
      </c>
      <c r="L57" s="5">
        <v>1.0330000000000001E-2</v>
      </c>
      <c r="M57" s="5">
        <v>1.1610000000000001E-2</v>
      </c>
      <c r="N57" s="5">
        <v>1.302E-2</v>
      </c>
      <c r="O57" s="5">
        <v>1.448E-2</v>
      </c>
      <c r="P57" s="5">
        <v>1.6039999999999999E-2</v>
      </c>
      <c r="Q57" s="5">
        <v>1.789E-2</v>
      </c>
      <c r="R57" s="5">
        <v>1.9869999999999999E-2</v>
      </c>
      <c r="S57" s="5">
        <v>2.1860000000000001E-2</v>
      </c>
      <c r="T57" s="5">
        <v>2.3910000000000001E-2</v>
      </c>
      <c r="U57" s="5">
        <v>2.6159999999999999E-2</v>
      </c>
      <c r="V57" s="5">
        <v>2.877E-2</v>
      </c>
      <c r="W57" s="5">
        <v>3.1879999999999999E-2</v>
      </c>
      <c r="X57" s="5">
        <v>3.5369999999999999E-2</v>
      </c>
      <c r="Y57" s="5">
        <v>3.8960000000000002E-2</v>
      </c>
      <c r="Z57" s="5">
        <v>4.2759999999999999E-2</v>
      </c>
    </row>
    <row r="58" spans="1:26" x14ac:dyDescent="0.3">
      <c r="A58" s="5">
        <v>51</v>
      </c>
      <c r="B58" s="5">
        <v>1.2700000000000001E-3</v>
      </c>
      <c r="C58" s="5">
        <v>2.1299999999999999E-3</v>
      </c>
      <c r="D58" s="5">
        <v>3.1800000000000001E-3</v>
      </c>
      <c r="E58" s="5">
        <v>4.1999999999999997E-3</v>
      </c>
      <c r="F58" s="5">
        <v>4.9100000000000003E-3</v>
      </c>
      <c r="G58" s="5">
        <v>5.6100000000000004E-3</v>
      </c>
      <c r="H58" s="5">
        <v>6.7299999999999999E-3</v>
      </c>
      <c r="I58" s="5">
        <v>8.0700000000000008E-3</v>
      </c>
      <c r="J58" s="5">
        <v>9.1800000000000007E-3</v>
      </c>
      <c r="K58" s="5">
        <v>1.03E-2</v>
      </c>
      <c r="L58" s="5">
        <v>1.159E-2</v>
      </c>
      <c r="M58" s="5">
        <v>1.2999999999999999E-2</v>
      </c>
      <c r="N58" s="5">
        <v>1.448E-2</v>
      </c>
      <c r="O58" s="5">
        <v>1.6029999999999999E-2</v>
      </c>
      <c r="P58" s="5">
        <v>1.787E-2</v>
      </c>
      <c r="Q58" s="5">
        <v>1.9869999999999999E-2</v>
      </c>
      <c r="R58" s="5">
        <v>2.1850000000000001E-2</v>
      </c>
      <c r="S58" s="5">
        <v>2.384E-2</v>
      </c>
      <c r="T58" s="5">
        <v>2.606E-2</v>
      </c>
      <c r="U58" s="5">
        <v>2.8709999999999999E-2</v>
      </c>
      <c r="V58" s="5">
        <v>3.1820000000000001E-2</v>
      </c>
      <c r="W58" s="5">
        <v>3.533E-2</v>
      </c>
      <c r="X58" s="5">
        <v>3.8899999999999997E-2</v>
      </c>
      <c r="Y58" s="5">
        <v>4.2700000000000002E-2</v>
      </c>
      <c r="Z58" s="5">
        <v>4.6519999999999999E-2</v>
      </c>
    </row>
    <row r="59" spans="1:26" x14ac:dyDescent="0.3">
      <c r="A59" s="5">
        <v>52</v>
      </c>
      <c r="B59" s="5">
        <v>1.4E-3</v>
      </c>
      <c r="C59" s="5">
        <v>2.3400000000000001E-3</v>
      </c>
      <c r="D59" s="5">
        <v>3.6099999999999999E-3</v>
      </c>
      <c r="E59" s="5">
        <v>4.79E-3</v>
      </c>
      <c r="F59" s="5">
        <v>5.5500000000000002E-3</v>
      </c>
      <c r="G59" s="5">
        <v>6.5900000000000004E-3</v>
      </c>
      <c r="H59" s="5">
        <v>7.8899999999999994E-3</v>
      </c>
      <c r="I59" s="5">
        <v>9.0900000000000009E-3</v>
      </c>
      <c r="J59" s="5">
        <v>1.027E-2</v>
      </c>
      <c r="K59" s="5">
        <v>1.1560000000000001E-2</v>
      </c>
      <c r="L59" s="5">
        <v>1.2970000000000001E-2</v>
      </c>
      <c r="M59" s="5">
        <v>1.4460000000000001E-2</v>
      </c>
      <c r="N59" s="5">
        <v>1.602E-2</v>
      </c>
      <c r="O59" s="5">
        <v>1.7860000000000001E-2</v>
      </c>
      <c r="P59" s="5">
        <v>1.983E-2</v>
      </c>
      <c r="Q59" s="5">
        <v>2.1839999999999998E-2</v>
      </c>
      <c r="R59" s="5">
        <v>2.3769999999999999E-2</v>
      </c>
      <c r="S59" s="5">
        <v>2.597E-2</v>
      </c>
      <c r="T59" s="5">
        <v>2.8649999999999998E-2</v>
      </c>
      <c r="U59" s="5">
        <v>3.1759999999999997E-2</v>
      </c>
      <c r="V59" s="5">
        <v>3.5299999999999998E-2</v>
      </c>
      <c r="W59" s="5">
        <v>3.884E-2</v>
      </c>
      <c r="X59" s="5">
        <v>4.2639999999999997E-2</v>
      </c>
      <c r="Y59" s="5">
        <v>4.6440000000000002E-2</v>
      </c>
      <c r="Z59" s="5">
        <v>5.015E-2</v>
      </c>
    </row>
    <row r="60" spans="1:26" x14ac:dyDescent="0.3">
      <c r="A60" s="5">
        <v>53</v>
      </c>
      <c r="B60" s="5">
        <v>1.5399999999999999E-3</v>
      </c>
      <c r="C60" s="5">
        <v>2.5899999999999999E-3</v>
      </c>
      <c r="D60" s="5">
        <v>4.1099999999999999E-3</v>
      </c>
      <c r="E60" s="5">
        <v>5.47E-3</v>
      </c>
      <c r="F60" s="5">
        <v>6.4200000000000004E-3</v>
      </c>
      <c r="G60" s="5">
        <v>7.6699999999999997E-3</v>
      </c>
      <c r="H60" s="5">
        <v>8.8999999999999999E-3</v>
      </c>
      <c r="I60" s="5">
        <v>1.0240000000000001E-2</v>
      </c>
      <c r="J60" s="5">
        <v>1.154E-2</v>
      </c>
      <c r="K60" s="5">
        <v>1.295E-2</v>
      </c>
      <c r="L60" s="5">
        <v>1.444E-2</v>
      </c>
      <c r="M60" s="5">
        <v>1.601E-2</v>
      </c>
      <c r="N60" s="5">
        <v>1.7840000000000002E-2</v>
      </c>
      <c r="O60" s="5">
        <v>1.9800000000000002E-2</v>
      </c>
      <c r="P60" s="5">
        <v>2.181E-2</v>
      </c>
      <c r="Q60" s="5">
        <v>2.3699999999999999E-2</v>
      </c>
      <c r="R60" s="5">
        <v>2.5870000000000001E-2</v>
      </c>
      <c r="S60" s="5">
        <v>2.8590000000000001E-2</v>
      </c>
      <c r="T60" s="5">
        <v>3.1710000000000002E-2</v>
      </c>
      <c r="U60" s="5">
        <v>3.526E-2</v>
      </c>
      <c r="V60" s="5">
        <v>3.8780000000000002E-2</v>
      </c>
      <c r="W60" s="5">
        <v>4.2569999999999997E-2</v>
      </c>
      <c r="X60" s="5">
        <v>4.6370000000000001E-2</v>
      </c>
      <c r="Y60" s="5">
        <v>4.9970000000000001E-2</v>
      </c>
      <c r="Z60" s="5">
        <v>5.3789999999999998E-2</v>
      </c>
    </row>
    <row r="61" spans="1:26" x14ac:dyDescent="0.3">
      <c r="A61" s="5">
        <v>54</v>
      </c>
      <c r="B61" s="5">
        <v>1.6999999999999999E-3</v>
      </c>
      <c r="C61" s="5">
        <v>2.8800000000000002E-3</v>
      </c>
      <c r="D61" s="5">
        <v>4.6899999999999997E-3</v>
      </c>
      <c r="E61" s="5">
        <v>6.2399999999999999E-3</v>
      </c>
      <c r="F61" s="5">
        <v>7.4000000000000003E-3</v>
      </c>
      <c r="G61" s="5">
        <v>8.6599999999999993E-3</v>
      </c>
      <c r="H61" s="5">
        <v>1.0030000000000001E-2</v>
      </c>
      <c r="I61" s="5">
        <v>1.1509999999999999E-2</v>
      </c>
      <c r="J61" s="5">
        <v>1.2930000000000001E-2</v>
      </c>
      <c r="K61" s="5">
        <v>1.443E-2</v>
      </c>
      <c r="L61" s="5">
        <v>1.5990000000000001E-2</v>
      </c>
      <c r="M61" s="5">
        <v>1.7819999999999999E-2</v>
      </c>
      <c r="N61" s="5">
        <v>1.9769999999999999E-2</v>
      </c>
      <c r="O61" s="5">
        <v>2.1780000000000001E-2</v>
      </c>
      <c r="P61" s="5">
        <v>2.3640000000000001E-2</v>
      </c>
      <c r="Q61" s="5">
        <v>2.5780000000000001E-2</v>
      </c>
      <c r="R61" s="5">
        <v>2.853E-2</v>
      </c>
      <c r="S61" s="5">
        <v>3.1649999999999998E-2</v>
      </c>
      <c r="T61" s="5">
        <v>3.5229999999999997E-2</v>
      </c>
      <c r="U61" s="5">
        <v>3.8719999999999997E-2</v>
      </c>
      <c r="V61" s="5">
        <v>4.2509999999999999E-2</v>
      </c>
      <c r="W61" s="5">
        <v>4.6289999999999998E-2</v>
      </c>
      <c r="X61" s="5">
        <v>4.9799999999999997E-2</v>
      </c>
      <c r="Y61" s="5">
        <v>5.3539999999999997E-2</v>
      </c>
      <c r="Z61" s="5">
        <v>5.7689999999999998E-2</v>
      </c>
    </row>
    <row r="62" spans="1:26" x14ac:dyDescent="0.3">
      <c r="A62" s="5">
        <v>55</v>
      </c>
      <c r="B62" s="5">
        <v>1.8799999999999999E-3</v>
      </c>
      <c r="C62" s="5">
        <v>3.2100000000000002E-3</v>
      </c>
      <c r="D62" s="5">
        <v>5.3499999999999997E-3</v>
      </c>
      <c r="E62" s="5">
        <v>7.1000000000000004E-3</v>
      </c>
      <c r="F62" s="5">
        <v>8.3800000000000003E-3</v>
      </c>
      <c r="G62" s="5">
        <v>9.7699999999999992E-3</v>
      </c>
      <c r="H62" s="5">
        <v>1.128E-2</v>
      </c>
      <c r="I62" s="5">
        <v>1.291E-2</v>
      </c>
      <c r="J62" s="5">
        <v>1.4409999999999999E-2</v>
      </c>
      <c r="K62" s="5">
        <v>1.5980000000000001E-2</v>
      </c>
      <c r="L62" s="5">
        <v>1.7809999999999999E-2</v>
      </c>
      <c r="M62" s="5">
        <v>1.9740000000000001E-2</v>
      </c>
      <c r="N62" s="5">
        <v>2.1749999999999999E-2</v>
      </c>
      <c r="O62" s="5">
        <v>2.3570000000000001E-2</v>
      </c>
      <c r="P62" s="5">
        <v>2.5680000000000001E-2</v>
      </c>
      <c r="Q62" s="5">
        <v>2.8459999999999999E-2</v>
      </c>
      <c r="R62" s="5">
        <v>3.159E-2</v>
      </c>
      <c r="S62" s="5">
        <v>3.5189999999999999E-2</v>
      </c>
      <c r="T62" s="5">
        <v>3.8649999999999997E-2</v>
      </c>
      <c r="U62" s="5">
        <v>4.2439999999999999E-2</v>
      </c>
      <c r="V62" s="5">
        <v>4.6210000000000001E-2</v>
      </c>
      <c r="W62" s="5">
        <v>4.9619999999999997E-2</v>
      </c>
      <c r="X62" s="5">
        <v>5.3289999999999997E-2</v>
      </c>
      <c r="Y62" s="5">
        <v>5.7540000000000001E-2</v>
      </c>
      <c r="Z62" s="5">
        <v>6.1879999999999998E-2</v>
      </c>
    </row>
    <row r="63" spans="1:26" x14ac:dyDescent="0.3">
      <c r="A63" s="5">
        <v>56</v>
      </c>
      <c r="B63" s="5">
        <v>2.0799999999999998E-3</v>
      </c>
      <c r="C63" s="5">
        <v>3.5799999999999998E-3</v>
      </c>
      <c r="D63" s="5">
        <v>6.0899999999999999E-3</v>
      </c>
      <c r="E63" s="5">
        <v>8.0599999999999995E-3</v>
      </c>
      <c r="F63" s="5">
        <v>9.4599999999999997E-3</v>
      </c>
      <c r="G63" s="5">
        <v>1.098E-2</v>
      </c>
      <c r="H63" s="5">
        <v>1.2630000000000001E-2</v>
      </c>
      <c r="I63" s="5">
        <v>1.44E-2</v>
      </c>
      <c r="J63" s="5">
        <v>1.5970000000000002E-2</v>
      </c>
      <c r="K63" s="5">
        <v>1.779E-2</v>
      </c>
      <c r="L63" s="5">
        <v>1.9709999999999998E-2</v>
      </c>
      <c r="M63" s="5">
        <v>2.172E-2</v>
      </c>
      <c r="N63" s="5">
        <v>2.35E-2</v>
      </c>
      <c r="O63" s="5">
        <v>2.5590000000000002E-2</v>
      </c>
      <c r="P63" s="5">
        <v>2.8400000000000002E-2</v>
      </c>
      <c r="Q63" s="5">
        <v>3.1530000000000002E-2</v>
      </c>
      <c r="R63" s="5">
        <v>3.5159999999999997E-2</v>
      </c>
      <c r="S63" s="5">
        <v>3.8589999999999999E-2</v>
      </c>
      <c r="T63" s="5">
        <v>4.2380000000000001E-2</v>
      </c>
      <c r="U63" s="5">
        <v>4.6129999999999997E-2</v>
      </c>
      <c r="V63" s="5">
        <v>4.9439999999999998E-2</v>
      </c>
      <c r="W63" s="5">
        <v>5.3039999999999997E-2</v>
      </c>
      <c r="X63" s="5">
        <v>5.7360000000000001E-2</v>
      </c>
      <c r="Y63" s="5">
        <v>6.1879999999999998E-2</v>
      </c>
      <c r="Z63" s="5">
        <v>6.6269999999999996E-2</v>
      </c>
    </row>
    <row r="64" spans="1:26" x14ac:dyDescent="0.3">
      <c r="A64" s="5">
        <v>57</v>
      </c>
      <c r="B64" s="5">
        <v>2.31E-3</v>
      </c>
      <c r="C64" s="5">
        <v>4.0000000000000001E-3</v>
      </c>
      <c r="D64" s="5">
        <v>6.8799999999999998E-3</v>
      </c>
      <c r="E64" s="5">
        <v>9.1000000000000004E-3</v>
      </c>
      <c r="F64" s="5">
        <v>1.0619999999999999E-2</v>
      </c>
      <c r="G64" s="5">
        <v>1.2279999999999999E-2</v>
      </c>
      <c r="H64" s="5">
        <v>1.4069999999999999E-2</v>
      </c>
      <c r="I64" s="5">
        <v>1.5959999999999998E-2</v>
      </c>
      <c r="J64" s="5">
        <v>1.7780000000000001E-2</v>
      </c>
      <c r="K64" s="5">
        <v>1.968E-2</v>
      </c>
      <c r="L64" s="5">
        <v>2.1690000000000001E-2</v>
      </c>
      <c r="M64" s="5">
        <v>2.3429999999999999E-2</v>
      </c>
      <c r="N64" s="5">
        <v>2.5489999999999999E-2</v>
      </c>
      <c r="O64" s="5">
        <v>2.8340000000000001E-2</v>
      </c>
      <c r="P64" s="5">
        <v>3.1469999999999998E-2</v>
      </c>
      <c r="Q64" s="5">
        <v>3.5119999999999998E-2</v>
      </c>
      <c r="R64" s="5">
        <v>3.8530000000000002E-2</v>
      </c>
      <c r="S64" s="5">
        <v>4.2320000000000003E-2</v>
      </c>
      <c r="T64" s="5">
        <v>4.6050000000000001E-2</v>
      </c>
      <c r="U64" s="5">
        <v>4.9259999999999998E-2</v>
      </c>
      <c r="V64" s="5">
        <v>5.28E-2</v>
      </c>
      <c r="W64" s="5">
        <v>5.7169999999999999E-2</v>
      </c>
      <c r="X64" s="5">
        <v>6.1830000000000003E-2</v>
      </c>
      <c r="Y64" s="5">
        <v>6.6269999999999996E-2</v>
      </c>
      <c r="Z64" s="5">
        <v>7.0940000000000003E-2</v>
      </c>
    </row>
    <row r="65" spans="1:26" x14ac:dyDescent="0.3">
      <c r="A65" s="5">
        <v>58</v>
      </c>
      <c r="B65" s="5">
        <v>2.5600000000000002E-3</v>
      </c>
      <c r="C65" s="5">
        <v>4.4799999999999996E-3</v>
      </c>
      <c r="D65" s="5">
        <v>7.7299999999999999E-3</v>
      </c>
      <c r="E65" s="5">
        <v>1.022E-2</v>
      </c>
      <c r="F65" s="5">
        <v>1.1860000000000001E-2</v>
      </c>
      <c r="G65" s="5">
        <v>1.3639999999999999E-2</v>
      </c>
      <c r="H65" s="5">
        <v>1.555E-2</v>
      </c>
      <c r="I65" s="5">
        <v>1.754E-2</v>
      </c>
      <c r="J65" s="5">
        <v>1.9640000000000001E-2</v>
      </c>
      <c r="K65" s="5">
        <v>2.1659999999999999E-2</v>
      </c>
      <c r="L65" s="5">
        <v>2.3359999999999999E-2</v>
      </c>
      <c r="M65" s="5">
        <v>2.5389999999999999E-2</v>
      </c>
      <c r="N65" s="5">
        <v>2.828E-2</v>
      </c>
      <c r="O65" s="5">
        <v>3.141E-2</v>
      </c>
      <c r="P65" s="5">
        <v>3.5090000000000003E-2</v>
      </c>
      <c r="Q65" s="5">
        <v>3.8469999999999997E-2</v>
      </c>
      <c r="R65" s="5">
        <v>4.2250000000000003E-2</v>
      </c>
      <c r="S65" s="5">
        <v>4.598E-2</v>
      </c>
      <c r="T65" s="5">
        <v>4.9079999999999999E-2</v>
      </c>
      <c r="U65" s="5">
        <v>5.2549999999999999E-2</v>
      </c>
      <c r="V65" s="5">
        <v>5.6989999999999999E-2</v>
      </c>
      <c r="W65" s="5">
        <v>6.1769999999999999E-2</v>
      </c>
      <c r="X65" s="5">
        <v>6.6269999999999996E-2</v>
      </c>
      <c r="Y65" s="5">
        <v>7.0940000000000003E-2</v>
      </c>
      <c r="Z65" s="5">
        <v>7.6840000000000006E-2</v>
      </c>
    </row>
    <row r="66" spans="1:26" x14ac:dyDescent="0.3">
      <c r="A66" s="5">
        <v>59</v>
      </c>
      <c r="B66" s="5">
        <v>2.8400000000000001E-3</v>
      </c>
      <c r="C66" s="5">
        <v>5.0099999999999997E-3</v>
      </c>
      <c r="D66" s="5">
        <v>8.6099999999999996E-3</v>
      </c>
      <c r="E66" s="5">
        <v>1.1390000000000001E-2</v>
      </c>
      <c r="F66" s="5">
        <v>1.315E-2</v>
      </c>
      <c r="G66" s="5">
        <v>1.504E-2</v>
      </c>
      <c r="H66" s="5">
        <v>1.7049999999999999E-2</v>
      </c>
      <c r="I66" s="5">
        <v>1.915E-2</v>
      </c>
      <c r="J66" s="5">
        <v>2.1389999999999999E-2</v>
      </c>
      <c r="K66" s="5">
        <v>2.3300000000000001E-2</v>
      </c>
      <c r="L66" s="5">
        <v>2.53E-2</v>
      </c>
      <c r="M66" s="5">
        <v>2.8219999999999999E-2</v>
      </c>
      <c r="N66" s="5">
        <v>3.1359999999999999E-2</v>
      </c>
      <c r="O66" s="5">
        <v>3.5049999999999998E-2</v>
      </c>
      <c r="P66" s="5">
        <v>3.841E-2</v>
      </c>
      <c r="Q66" s="5">
        <v>4.2189999999999998E-2</v>
      </c>
      <c r="R66" s="5">
        <v>4.5900000000000003E-2</v>
      </c>
      <c r="S66" s="5">
        <v>4.8899999999999999E-2</v>
      </c>
      <c r="T66" s="5">
        <v>5.2299999999999999E-2</v>
      </c>
      <c r="U66" s="5">
        <v>5.6800000000000003E-2</v>
      </c>
      <c r="V66" s="5">
        <v>6.1719999999999997E-2</v>
      </c>
      <c r="W66" s="5">
        <v>6.6250000000000003E-2</v>
      </c>
      <c r="X66" s="5">
        <v>7.0940000000000003E-2</v>
      </c>
      <c r="Y66" s="5">
        <v>7.6840000000000006E-2</v>
      </c>
      <c r="Z66" s="5">
        <v>8.4419999999999995E-2</v>
      </c>
    </row>
    <row r="67" spans="1:26" x14ac:dyDescent="0.3">
      <c r="A67" s="5">
        <v>60</v>
      </c>
      <c r="B67" s="5">
        <v>3.15E-3</v>
      </c>
      <c r="C67" s="5">
        <v>5.5999999999999999E-3</v>
      </c>
      <c r="D67" s="5">
        <v>9.5099999999999994E-3</v>
      </c>
      <c r="E67" s="5">
        <v>1.26E-2</v>
      </c>
      <c r="F67" s="5">
        <v>1.4460000000000001E-2</v>
      </c>
      <c r="G67" s="5">
        <v>1.6449999999999999E-2</v>
      </c>
      <c r="H67" s="5">
        <v>1.8380000000000001E-2</v>
      </c>
      <c r="I67" s="5">
        <v>2.06E-2</v>
      </c>
      <c r="J67" s="5">
        <v>2.299E-2</v>
      </c>
      <c r="K67" s="5">
        <v>2.52E-2</v>
      </c>
      <c r="L67" s="5">
        <v>2.8150000000000001E-2</v>
      </c>
      <c r="M67" s="5">
        <v>3.1300000000000001E-2</v>
      </c>
      <c r="N67" s="5">
        <v>3.5020000000000003E-2</v>
      </c>
      <c r="O67" s="5">
        <v>3.8350000000000002E-2</v>
      </c>
      <c r="P67" s="5">
        <v>4.2119999999999998E-2</v>
      </c>
      <c r="Q67" s="5">
        <v>4.582E-2</v>
      </c>
      <c r="R67" s="5">
        <v>4.8730000000000002E-2</v>
      </c>
      <c r="S67" s="5">
        <v>5.2049999999999999E-2</v>
      </c>
      <c r="T67" s="5">
        <v>5.6610000000000001E-2</v>
      </c>
      <c r="U67" s="5">
        <v>6.166E-2</v>
      </c>
      <c r="V67" s="5">
        <v>6.6180000000000003E-2</v>
      </c>
      <c r="W67" s="5">
        <v>7.0940000000000003E-2</v>
      </c>
      <c r="X67" s="5">
        <v>7.6840000000000006E-2</v>
      </c>
      <c r="Y67" s="5">
        <v>8.4419999999999995E-2</v>
      </c>
      <c r="Z67" s="5">
        <v>9.3030000000000002E-2</v>
      </c>
    </row>
    <row r="68" spans="1:26" x14ac:dyDescent="0.3">
      <c r="A68" s="5">
        <v>61</v>
      </c>
      <c r="B68" s="5">
        <v>3.49E-3</v>
      </c>
      <c r="C68" s="5">
        <v>6.2399999999999999E-3</v>
      </c>
      <c r="D68" s="5">
        <v>1.042E-2</v>
      </c>
      <c r="E68" s="5">
        <v>1.3809999999999999E-2</v>
      </c>
      <c r="F68" s="5">
        <v>1.5769999999999999E-2</v>
      </c>
      <c r="G68" s="5">
        <v>1.7670000000000002E-2</v>
      </c>
      <c r="H68" s="5">
        <v>1.942E-2</v>
      </c>
      <c r="I68" s="5">
        <v>2.1729999999999999E-2</v>
      </c>
      <c r="J68" s="5">
        <v>2.427E-2</v>
      </c>
      <c r="K68" s="5">
        <v>2.7320000000000001E-2</v>
      </c>
      <c r="L68" s="5">
        <v>3.0470000000000001E-2</v>
      </c>
      <c r="M68" s="5">
        <v>3.3790000000000001E-2</v>
      </c>
      <c r="N68" s="5">
        <v>3.8289999999999998E-2</v>
      </c>
      <c r="O68" s="5">
        <v>4.206E-2</v>
      </c>
      <c r="P68" s="5">
        <v>4.5740000000000003E-2</v>
      </c>
      <c r="Q68" s="5">
        <v>4.8550000000000003E-2</v>
      </c>
      <c r="R68" s="5">
        <v>5.1799999999999999E-2</v>
      </c>
      <c r="S68" s="5">
        <v>5.6430000000000001E-2</v>
      </c>
      <c r="T68" s="5">
        <v>6.1600000000000002E-2</v>
      </c>
      <c r="U68" s="5">
        <v>6.615E-2</v>
      </c>
      <c r="V68" s="5">
        <v>7.0889999999999995E-2</v>
      </c>
      <c r="W68" s="5">
        <v>7.6840000000000006E-2</v>
      </c>
      <c r="X68" s="5">
        <v>8.4419999999999995E-2</v>
      </c>
      <c r="Y68" s="5">
        <v>9.3030000000000002E-2</v>
      </c>
      <c r="Z68" s="5">
        <v>0.10279000000000001</v>
      </c>
    </row>
    <row r="69" spans="1:26" x14ac:dyDescent="0.3">
      <c r="A69" s="5">
        <v>62</v>
      </c>
      <c r="B69" s="5">
        <v>3.8600000000000001E-3</v>
      </c>
      <c r="C69" s="5">
        <v>6.9199999999999999E-3</v>
      </c>
      <c r="D69" s="5">
        <v>1.132E-2</v>
      </c>
      <c r="E69" s="5">
        <v>1.4999999999999999E-2</v>
      </c>
      <c r="F69" s="5">
        <v>1.7069999999999998E-2</v>
      </c>
      <c r="G69" s="5">
        <v>1.8929999999999999E-2</v>
      </c>
      <c r="H69" s="5">
        <v>2.0410000000000001E-2</v>
      </c>
      <c r="I69" s="5">
        <v>2.2620000000000001E-2</v>
      </c>
      <c r="J69" s="5">
        <v>2.5350000000000001E-2</v>
      </c>
      <c r="K69" s="5">
        <v>2.862E-2</v>
      </c>
      <c r="L69" s="5">
        <v>3.193E-2</v>
      </c>
      <c r="M69" s="5">
        <v>3.5340000000000003E-2</v>
      </c>
      <c r="N69" s="5">
        <v>4.0129999999999999E-2</v>
      </c>
      <c r="O69" s="5">
        <v>4.5670000000000002E-2</v>
      </c>
      <c r="P69" s="5">
        <v>4.8370000000000003E-2</v>
      </c>
      <c r="Q69" s="5">
        <v>5.1549999999999999E-2</v>
      </c>
      <c r="R69" s="5">
        <v>5.6239999999999998E-2</v>
      </c>
      <c r="S69" s="5">
        <v>6.1539999999999997E-2</v>
      </c>
      <c r="T69" s="5">
        <v>6.6009999999999999E-2</v>
      </c>
      <c r="U69" s="5">
        <v>7.0720000000000005E-2</v>
      </c>
      <c r="V69" s="5">
        <v>7.6840000000000006E-2</v>
      </c>
      <c r="W69" s="5">
        <v>8.4419999999999995E-2</v>
      </c>
      <c r="X69" s="5">
        <v>9.3030000000000002E-2</v>
      </c>
      <c r="Y69" s="5">
        <v>0.10279000000000001</v>
      </c>
      <c r="Z69" s="5">
        <v>0.11376</v>
      </c>
    </row>
    <row r="70" spans="1:26" x14ac:dyDescent="0.3">
      <c r="A70" s="5">
        <v>63</v>
      </c>
      <c r="B70" s="5">
        <v>4.2500000000000003E-3</v>
      </c>
      <c r="C70" s="5">
        <v>7.6299999999999996E-3</v>
      </c>
      <c r="D70" s="5">
        <v>1.2200000000000001E-2</v>
      </c>
      <c r="E70" s="5">
        <v>1.617E-2</v>
      </c>
      <c r="F70" s="5">
        <v>1.8409999999999999E-2</v>
      </c>
      <c r="G70" s="5">
        <v>2.0140000000000002E-2</v>
      </c>
      <c r="H70" s="5">
        <v>2.164E-2</v>
      </c>
      <c r="I70" s="5">
        <v>2.3980000000000001E-2</v>
      </c>
      <c r="J70" s="5">
        <v>2.708E-2</v>
      </c>
      <c r="K70" s="5">
        <v>3.0099999999999998E-2</v>
      </c>
      <c r="L70" s="5">
        <v>3.3419999999999998E-2</v>
      </c>
      <c r="M70" s="5">
        <v>3.6729999999999999E-2</v>
      </c>
      <c r="N70" s="5">
        <v>4.1459999999999997E-2</v>
      </c>
      <c r="O70" s="5">
        <v>4.8189999999999997E-2</v>
      </c>
      <c r="P70" s="5">
        <v>5.1299999999999998E-2</v>
      </c>
      <c r="Q70" s="5">
        <v>5.6059999999999999E-2</v>
      </c>
      <c r="R70" s="5">
        <v>6.148E-2</v>
      </c>
      <c r="S70" s="5">
        <v>6.5879999999999994E-2</v>
      </c>
      <c r="T70" s="5">
        <v>7.0480000000000001E-2</v>
      </c>
      <c r="U70" s="5">
        <v>7.6670000000000002E-2</v>
      </c>
      <c r="V70" s="5">
        <v>8.4419999999999995E-2</v>
      </c>
      <c r="W70" s="5">
        <v>9.3030000000000002E-2</v>
      </c>
      <c r="X70" s="5">
        <v>0.10279000000000001</v>
      </c>
      <c r="Y70" s="5">
        <v>0.11376</v>
      </c>
      <c r="Z70" s="5">
        <v>0.12586</v>
      </c>
    </row>
    <row r="71" spans="1:26" x14ac:dyDescent="0.3">
      <c r="A71" s="5">
        <v>64</v>
      </c>
      <c r="B71" s="5">
        <v>4.6600000000000001E-3</v>
      </c>
      <c r="C71" s="5">
        <v>8.3400000000000002E-3</v>
      </c>
      <c r="D71" s="5">
        <v>1.306E-2</v>
      </c>
      <c r="E71" s="5">
        <v>1.736E-2</v>
      </c>
      <c r="F71" s="5">
        <v>1.9689999999999999E-2</v>
      </c>
      <c r="G71" s="5">
        <v>2.1399999999999999E-2</v>
      </c>
      <c r="H71" s="5">
        <v>2.342E-2</v>
      </c>
      <c r="I71" s="5">
        <v>2.622E-2</v>
      </c>
      <c r="J71" s="5">
        <v>2.9270000000000001E-2</v>
      </c>
      <c r="K71" s="5">
        <v>3.2509999999999997E-2</v>
      </c>
      <c r="L71" s="5">
        <v>3.5729999999999998E-2</v>
      </c>
      <c r="M71" s="5">
        <v>3.8739999999999997E-2</v>
      </c>
      <c r="N71" s="5">
        <v>4.3439999999999999E-2</v>
      </c>
      <c r="O71" s="5">
        <v>5.1060000000000001E-2</v>
      </c>
      <c r="P71" s="5">
        <v>5.5870000000000003E-2</v>
      </c>
      <c r="Q71" s="5">
        <v>6.1420000000000002E-2</v>
      </c>
      <c r="R71" s="5">
        <v>6.5750000000000003E-2</v>
      </c>
      <c r="S71" s="5">
        <v>7.0239999999999997E-2</v>
      </c>
      <c r="T71" s="5">
        <v>7.6420000000000002E-2</v>
      </c>
      <c r="U71" s="5">
        <v>8.4419999999999995E-2</v>
      </c>
      <c r="V71" s="5">
        <v>9.3030000000000002E-2</v>
      </c>
      <c r="W71" s="5">
        <v>0.10279000000000001</v>
      </c>
      <c r="X71" s="5">
        <v>0.11376</v>
      </c>
      <c r="Y71" s="5">
        <v>0.12586</v>
      </c>
      <c r="Z71" s="5">
        <v>0.13882</v>
      </c>
    </row>
    <row r="72" spans="1:26" x14ac:dyDescent="0.3">
      <c r="A72" s="5">
        <v>65</v>
      </c>
      <c r="B72" s="5">
        <v>5.0800000000000003E-3</v>
      </c>
      <c r="C72" s="5">
        <v>9.0600000000000003E-3</v>
      </c>
      <c r="D72" s="5">
        <v>1.393E-2</v>
      </c>
      <c r="E72" s="5">
        <v>1.8630000000000001E-2</v>
      </c>
      <c r="F72" s="5">
        <v>2.1149999999999999E-2</v>
      </c>
      <c r="G72" s="5">
        <v>2.325E-2</v>
      </c>
      <c r="H72" s="5">
        <v>2.5729999999999999E-2</v>
      </c>
      <c r="I72" s="5">
        <v>2.8670000000000001E-2</v>
      </c>
      <c r="J72" s="5">
        <v>3.1660000000000001E-2</v>
      </c>
      <c r="K72" s="5">
        <v>3.5560000000000001E-2</v>
      </c>
      <c r="L72" s="5">
        <v>3.8460000000000001E-2</v>
      </c>
      <c r="M72" s="5">
        <v>4.2119999999999998E-2</v>
      </c>
      <c r="N72" s="5">
        <v>4.6019999999999998E-2</v>
      </c>
      <c r="O72" s="5">
        <v>5.3879999999999997E-2</v>
      </c>
      <c r="P72" s="5">
        <v>6.0630000000000003E-2</v>
      </c>
      <c r="Q72" s="5">
        <v>6.5619999999999998E-2</v>
      </c>
      <c r="R72" s="5">
        <v>7.0000000000000007E-2</v>
      </c>
      <c r="S72" s="5">
        <v>7.6230000000000006E-2</v>
      </c>
      <c r="T72" s="5">
        <v>8.4290000000000004E-2</v>
      </c>
      <c r="U72" s="5">
        <v>9.3030000000000002E-2</v>
      </c>
      <c r="V72" s="5">
        <v>0.10279000000000001</v>
      </c>
      <c r="W72" s="5">
        <v>0.11376</v>
      </c>
      <c r="X72" s="5">
        <v>0.12586</v>
      </c>
      <c r="Y72" s="5">
        <v>0.13882</v>
      </c>
      <c r="Z72" s="5">
        <v>0.15225</v>
      </c>
    </row>
    <row r="73" spans="1:26" x14ac:dyDescent="0.3">
      <c r="A73" s="5">
        <v>66</v>
      </c>
      <c r="B73" s="5">
        <v>5.5100000000000001E-3</v>
      </c>
      <c r="C73" s="5">
        <v>9.7900000000000001E-3</v>
      </c>
      <c r="D73" s="5">
        <v>1.486E-2</v>
      </c>
      <c r="E73" s="5">
        <v>2.0070000000000001E-2</v>
      </c>
      <c r="F73" s="5">
        <v>2.3029999999999998E-2</v>
      </c>
      <c r="G73" s="5">
        <v>2.5499999999999998E-2</v>
      </c>
      <c r="H73" s="5">
        <v>2.8289999999999999E-2</v>
      </c>
      <c r="I73" s="5">
        <v>3.1329999999999997E-2</v>
      </c>
      <c r="J73" s="5">
        <v>3.4639999999999997E-2</v>
      </c>
      <c r="K73" s="5">
        <v>3.8289999999999998E-2</v>
      </c>
      <c r="L73" s="5">
        <v>4.1730000000000003E-2</v>
      </c>
      <c r="M73" s="5">
        <v>4.5609999999999998E-2</v>
      </c>
      <c r="N73" s="5">
        <v>4.8849999999999998E-2</v>
      </c>
      <c r="O73" s="5">
        <v>5.7070000000000003E-2</v>
      </c>
      <c r="P73" s="5">
        <v>6.4199999999999993E-2</v>
      </c>
      <c r="Q73" s="5">
        <v>6.9760000000000003E-2</v>
      </c>
      <c r="R73" s="5">
        <v>7.6060000000000003E-2</v>
      </c>
      <c r="S73" s="5">
        <v>8.4080000000000002E-2</v>
      </c>
      <c r="T73" s="5">
        <v>9.3030000000000002E-2</v>
      </c>
      <c r="U73" s="5">
        <v>0.10279000000000001</v>
      </c>
      <c r="V73" s="5">
        <v>0.11376</v>
      </c>
      <c r="W73" s="5">
        <v>0.12586</v>
      </c>
      <c r="X73" s="5">
        <v>0.13882</v>
      </c>
      <c r="Y73" s="5">
        <v>0.15225</v>
      </c>
      <c r="Z73" s="5">
        <v>0.16583999999999999</v>
      </c>
    </row>
    <row r="74" spans="1:26" x14ac:dyDescent="0.3">
      <c r="A74" s="5">
        <v>67</v>
      </c>
      <c r="B74" s="5">
        <v>5.9699999999999996E-3</v>
      </c>
      <c r="C74" s="5">
        <v>1.057E-2</v>
      </c>
      <c r="D74" s="5">
        <v>1.5890000000000001E-2</v>
      </c>
      <c r="E74" s="5">
        <v>2.179E-2</v>
      </c>
      <c r="F74" s="5">
        <v>2.5239999999999999E-2</v>
      </c>
      <c r="G74" s="5">
        <v>2.8060000000000002E-2</v>
      </c>
      <c r="H74" s="5">
        <v>3.1109999999999999E-2</v>
      </c>
      <c r="I74" s="5">
        <v>3.431E-2</v>
      </c>
      <c r="J74" s="5">
        <v>3.7659999999999999E-2</v>
      </c>
      <c r="K74" s="5">
        <v>4.1340000000000002E-2</v>
      </c>
      <c r="L74" s="5">
        <v>4.5190000000000001E-2</v>
      </c>
      <c r="M74" s="5">
        <v>4.8660000000000002E-2</v>
      </c>
      <c r="N74" s="5">
        <v>5.4149999999999997E-2</v>
      </c>
      <c r="O74" s="5">
        <v>6.0879999999999997E-2</v>
      </c>
      <c r="P74" s="5">
        <v>6.8540000000000004E-2</v>
      </c>
      <c r="Q74" s="5">
        <v>7.5160000000000005E-2</v>
      </c>
      <c r="R74" s="5">
        <v>8.3900000000000002E-2</v>
      </c>
      <c r="S74" s="5">
        <v>9.2630000000000004E-2</v>
      </c>
      <c r="T74" s="5">
        <v>0.10279000000000001</v>
      </c>
      <c r="U74" s="5">
        <v>0.11376</v>
      </c>
      <c r="V74" s="5">
        <v>0.12586</v>
      </c>
      <c r="W74" s="5">
        <v>0.13882</v>
      </c>
      <c r="X74" s="5">
        <v>0.15225</v>
      </c>
      <c r="Y74" s="5">
        <v>0.16583999999999999</v>
      </c>
      <c r="Z74" s="5">
        <v>0.17917</v>
      </c>
    </row>
    <row r="75" spans="1:26" x14ac:dyDescent="0.3">
      <c r="A75" s="5">
        <v>68</v>
      </c>
      <c r="B75" s="5">
        <v>6.4599999999999996E-3</v>
      </c>
      <c r="C75" s="5">
        <v>1.142E-2</v>
      </c>
      <c r="D75" s="5">
        <v>1.7100000000000001E-2</v>
      </c>
      <c r="E75" s="5">
        <v>2.384E-2</v>
      </c>
      <c r="F75" s="5">
        <v>2.776E-2</v>
      </c>
      <c r="G75" s="5">
        <v>3.0859999999999999E-2</v>
      </c>
      <c r="H75" s="5">
        <v>3.4090000000000002E-2</v>
      </c>
      <c r="I75" s="5">
        <v>3.7339999999999998E-2</v>
      </c>
      <c r="J75" s="5">
        <v>4.0689999999999997E-2</v>
      </c>
      <c r="K75" s="5">
        <v>4.478E-2</v>
      </c>
      <c r="L75" s="5">
        <v>4.8480000000000002E-2</v>
      </c>
      <c r="M75" s="5">
        <v>5.3699999999999998E-2</v>
      </c>
      <c r="N75" s="5">
        <v>6.0130000000000003E-2</v>
      </c>
      <c r="O75" s="5">
        <v>6.5519999999999995E-2</v>
      </c>
      <c r="P75" s="5">
        <v>7.4230000000000004E-2</v>
      </c>
      <c r="Q75" s="5">
        <v>8.2309999999999994E-2</v>
      </c>
      <c r="R75" s="5">
        <v>9.2299999999999993E-2</v>
      </c>
      <c r="S75" s="5">
        <v>0.10219</v>
      </c>
      <c r="T75" s="5">
        <v>0.11376</v>
      </c>
      <c r="U75" s="5">
        <v>0.12586</v>
      </c>
      <c r="V75" s="5">
        <v>0.13882</v>
      </c>
      <c r="W75" s="5">
        <v>0.15225</v>
      </c>
      <c r="X75" s="5">
        <v>0.16583999999999999</v>
      </c>
      <c r="Y75" s="5">
        <v>0.17917</v>
      </c>
      <c r="Z75" s="5">
        <v>0.19203999999999999</v>
      </c>
    </row>
    <row r="76" spans="1:26" x14ac:dyDescent="0.3">
      <c r="A76" s="5">
        <v>69</v>
      </c>
      <c r="B76" s="5">
        <v>7.0099999999999997E-3</v>
      </c>
      <c r="C76" s="5">
        <v>1.238E-2</v>
      </c>
      <c r="D76" s="5">
        <v>1.8499999999999999E-2</v>
      </c>
      <c r="E76" s="5">
        <v>2.6200000000000001E-2</v>
      </c>
      <c r="F76" s="5">
        <v>3.0519999999999999E-2</v>
      </c>
      <c r="G76" s="5">
        <v>3.3820000000000003E-2</v>
      </c>
      <c r="H76" s="5">
        <v>3.7100000000000001E-2</v>
      </c>
      <c r="I76" s="5">
        <v>4.045E-2</v>
      </c>
      <c r="J76" s="5">
        <v>4.4209999999999999E-2</v>
      </c>
      <c r="K76" s="5">
        <v>4.8300000000000003E-2</v>
      </c>
      <c r="L76" s="5">
        <v>5.3249999999999999E-2</v>
      </c>
      <c r="M76" s="5">
        <v>5.9380000000000002E-2</v>
      </c>
      <c r="N76" s="5">
        <v>6.4519999999999994E-2</v>
      </c>
      <c r="O76" s="5">
        <v>7.1400000000000005E-2</v>
      </c>
      <c r="P76" s="5">
        <v>8.1570000000000004E-2</v>
      </c>
      <c r="Q76" s="5">
        <v>9.0749999999999997E-2</v>
      </c>
      <c r="R76" s="5">
        <v>0.10172</v>
      </c>
      <c r="S76" s="5">
        <v>0.11337999999999999</v>
      </c>
      <c r="T76" s="5">
        <v>0.12586</v>
      </c>
      <c r="U76" s="5">
        <v>0.13882</v>
      </c>
      <c r="V76" s="5">
        <v>0.15225</v>
      </c>
      <c r="W76" s="5">
        <v>0.16583999999999999</v>
      </c>
      <c r="X76" s="5">
        <v>0.17917</v>
      </c>
      <c r="Y76" s="5">
        <v>0.19203999999999999</v>
      </c>
      <c r="Z76" s="5">
        <v>0.20412</v>
      </c>
    </row>
    <row r="77" spans="1:26" x14ac:dyDescent="0.3">
      <c r="A77" s="5">
        <v>70</v>
      </c>
      <c r="B77" s="5">
        <v>7.6499999999999997E-3</v>
      </c>
      <c r="C77" s="5">
        <v>1.3480000000000001E-2</v>
      </c>
      <c r="D77" s="5">
        <v>2.0080000000000001E-2</v>
      </c>
      <c r="E77" s="5">
        <v>2.8799999999999999E-2</v>
      </c>
      <c r="F77" s="5">
        <v>3.3450000000000001E-2</v>
      </c>
      <c r="G77" s="5">
        <v>3.6810000000000002E-2</v>
      </c>
      <c r="H77" s="5">
        <v>4.0239999999999998E-2</v>
      </c>
      <c r="I77" s="5">
        <v>4.4089999999999997E-2</v>
      </c>
      <c r="J77" s="5">
        <v>4.8230000000000002E-2</v>
      </c>
      <c r="K77" s="5">
        <v>5.28E-2</v>
      </c>
      <c r="L77" s="5">
        <v>5.8619999999999998E-2</v>
      </c>
      <c r="M77" s="5">
        <v>6.3799999999999996E-2</v>
      </c>
      <c r="N77" s="5">
        <v>6.9169999999999995E-2</v>
      </c>
      <c r="O77" s="5">
        <v>7.8439999999999996E-2</v>
      </c>
      <c r="P77" s="5">
        <v>8.9929999999999996E-2</v>
      </c>
      <c r="Q77" s="5">
        <v>0.1003</v>
      </c>
      <c r="R77" s="5">
        <v>0.11303000000000001</v>
      </c>
      <c r="S77" s="5">
        <v>0.12586</v>
      </c>
      <c r="T77" s="5">
        <v>0.13882</v>
      </c>
      <c r="U77" s="5">
        <v>0.15225</v>
      </c>
      <c r="V77" s="5">
        <v>0.16583999999999999</v>
      </c>
      <c r="W77" s="5">
        <v>0.17917</v>
      </c>
      <c r="X77" s="5">
        <v>0.19203999999999999</v>
      </c>
      <c r="Y77" s="5">
        <v>0.20412</v>
      </c>
      <c r="Z77" s="5">
        <v>0.21485000000000001</v>
      </c>
    </row>
    <row r="78" spans="1:26" x14ac:dyDescent="0.3">
      <c r="A78" s="5">
        <v>71</v>
      </c>
      <c r="B78" s="5">
        <v>8.3800000000000003E-3</v>
      </c>
      <c r="C78" s="5">
        <v>1.47E-2</v>
      </c>
      <c r="D78" s="5">
        <v>2.1829999999999999E-2</v>
      </c>
      <c r="E78" s="5">
        <v>3.1579999999999997E-2</v>
      </c>
      <c r="F78" s="5">
        <v>3.6420000000000001E-2</v>
      </c>
      <c r="G78" s="5">
        <v>0.04</v>
      </c>
      <c r="H78" s="5">
        <v>4.3959999999999999E-2</v>
      </c>
      <c r="I78" s="5">
        <v>4.8129999999999999E-2</v>
      </c>
      <c r="J78" s="5">
        <v>5.271E-2</v>
      </c>
      <c r="K78" s="5">
        <v>5.7869999999999998E-2</v>
      </c>
      <c r="L78" s="5">
        <v>6.3259999999999997E-2</v>
      </c>
      <c r="M78" s="5">
        <v>6.862E-2</v>
      </c>
      <c r="N78" s="5">
        <v>7.5509999999999994E-2</v>
      </c>
      <c r="O78" s="5">
        <v>8.6370000000000002E-2</v>
      </c>
      <c r="P78" s="5">
        <v>9.8909999999999998E-2</v>
      </c>
      <c r="Q78" s="5">
        <v>0.11206000000000001</v>
      </c>
      <c r="R78" s="5">
        <v>0.12564</v>
      </c>
      <c r="S78" s="5">
        <v>0.13882</v>
      </c>
      <c r="T78" s="5">
        <v>0.15225</v>
      </c>
      <c r="U78" s="5">
        <v>0.16583999999999999</v>
      </c>
      <c r="V78" s="5">
        <v>0.17917</v>
      </c>
      <c r="W78" s="5">
        <v>0.19203999999999999</v>
      </c>
      <c r="X78" s="5">
        <v>0.20412</v>
      </c>
      <c r="Y78" s="5">
        <v>0.21485000000000001</v>
      </c>
      <c r="Z78" s="5">
        <v>0.22652</v>
      </c>
    </row>
    <row r="79" spans="1:26" x14ac:dyDescent="0.3">
      <c r="A79" s="5">
        <v>72</v>
      </c>
      <c r="B79" s="5">
        <v>9.2099999999999994E-3</v>
      </c>
      <c r="C79" s="5">
        <v>1.6039999999999999E-2</v>
      </c>
      <c r="D79" s="5">
        <v>2.3699999999999999E-2</v>
      </c>
      <c r="E79" s="5">
        <v>3.4389999999999997E-2</v>
      </c>
      <c r="F79" s="5">
        <v>3.9350000000000003E-2</v>
      </c>
      <c r="G79" s="5">
        <v>4.342E-2</v>
      </c>
      <c r="H79" s="5">
        <v>4.7840000000000001E-2</v>
      </c>
      <c r="I79" s="5">
        <v>5.2049999999999999E-2</v>
      </c>
      <c r="J79" s="5">
        <v>5.704E-2</v>
      </c>
      <c r="K79" s="5">
        <v>6.2420000000000003E-2</v>
      </c>
      <c r="L79" s="5">
        <v>6.8040000000000003E-2</v>
      </c>
      <c r="M79" s="5">
        <v>7.4450000000000002E-2</v>
      </c>
      <c r="N79" s="5">
        <v>8.3409999999999998E-2</v>
      </c>
      <c r="O79" s="5">
        <v>9.4740000000000005E-2</v>
      </c>
      <c r="P79" s="5">
        <v>0.1103</v>
      </c>
      <c r="Q79" s="5">
        <v>0.12477000000000001</v>
      </c>
      <c r="R79" s="5">
        <v>0.13864000000000001</v>
      </c>
      <c r="S79" s="5">
        <v>0.15225</v>
      </c>
      <c r="T79" s="5">
        <v>0.16583999999999999</v>
      </c>
      <c r="U79" s="5">
        <v>0.17917</v>
      </c>
      <c r="V79" s="5">
        <v>0.19203999999999999</v>
      </c>
      <c r="W79" s="5">
        <v>0.20412</v>
      </c>
      <c r="X79" s="5">
        <v>0.21485000000000001</v>
      </c>
      <c r="Y79" s="5">
        <v>0.22652</v>
      </c>
      <c r="Z79" s="5">
        <v>0.24113000000000001</v>
      </c>
    </row>
    <row r="80" spans="1:26" x14ac:dyDescent="0.3">
      <c r="A80" s="5">
        <v>73</v>
      </c>
      <c r="B80" s="5">
        <v>1.014E-2</v>
      </c>
      <c r="C80" s="5">
        <v>1.746E-2</v>
      </c>
      <c r="D80" s="5">
        <v>2.564E-2</v>
      </c>
      <c r="E80" s="5">
        <v>3.7179999999999998E-2</v>
      </c>
      <c r="F80" s="5">
        <v>4.2700000000000002E-2</v>
      </c>
      <c r="G80" s="5">
        <v>4.7149999999999997E-2</v>
      </c>
      <c r="H80" s="5">
        <v>5.1279999999999999E-2</v>
      </c>
      <c r="I80" s="5">
        <v>5.5759999999999997E-2</v>
      </c>
      <c r="J80" s="5">
        <v>6.08E-2</v>
      </c>
      <c r="K80" s="5">
        <v>6.6930000000000003E-2</v>
      </c>
      <c r="L80" s="5">
        <v>7.3969999999999994E-2</v>
      </c>
      <c r="M80" s="5">
        <v>8.1059999999999993E-2</v>
      </c>
      <c r="N80" s="5">
        <v>9.1420000000000001E-2</v>
      </c>
      <c r="O80" s="5">
        <v>0.10732</v>
      </c>
      <c r="P80" s="5">
        <v>0.12327</v>
      </c>
      <c r="Q80" s="5">
        <v>0.13754</v>
      </c>
      <c r="R80" s="5">
        <v>0.15225</v>
      </c>
      <c r="S80" s="5">
        <v>0.16583999999999999</v>
      </c>
      <c r="T80" s="5">
        <v>0.17917</v>
      </c>
      <c r="U80" s="5">
        <v>0.19203999999999999</v>
      </c>
      <c r="V80" s="5">
        <v>0.20412</v>
      </c>
      <c r="W80" s="5">
        <v>0.21485000000000001</v>
      </c>
      <c r="X80" s="5">
        <v>0.22652</v>
      </c>
      <c r="Y80" s="5">
        <v>0.24113000000000001</v>
      </c>
      <c r="Z80" s="5">
        <v>0.25731999999999999</v>
      </c>
    </row>
    <row r="81" spans="1:26" x14ac:dyDescent="0.3">
      <c r="A81" s="5">
        <v>74</v>
      </c>
      <c r="B81" s="5">
        <v>1.1140000000000001E-2</v>
      </c>
      <c r="C81" s="5">
        <v>1.8929999999999999E-2</v>
      </c>
      <c r="D81" s="5">
        <v>2.7629999999999998E-2</v>
      </c>
      <c r="E81" s="5">
        <v>3.9960000000000002E-2</v>
      </c>
      <c r="F81" s="5">
        <v>4.6120000000000001E-2</v>
      </c>
      <c r="G81" s="5">
        <v>5.0529999999999999E-2</v>
      </c>
      <c r="H81" s="5">
        <v>5.3740000000000003E-2</v>
      </c>
      <c r="I81" s="5">
        <v>5.8439999999999999E-2</v>
      </c>
      <c r="J81" s="5">
        <v>6.5170000000000006E-2</v>
      </c>
      <c r="K81" s="5">
        <v>7.2959999999999997E-2</v>
      </c>
      <c r="L81" s="5">
        <v>8.0810000000000007E-2</v>
      </c>
      <c r="M81" s="5">
        <v>8.9870000000000005E-2</v>
      </c>
      <c r="N81" s="5">
        <v>0.10473</v>
      </c>
      <c r="O81" s="5">
        <v>0.12184</v>
      </c>
      <c r="P81" s="5">
        <v>0.13613</v>
      </c>
      <c r="Q81" s="5">
        <v>0.1517</v>
      </c>
      <c r="R81" s="5">
        <v>0.16583999999999999</v>
      </c>
      <c r="S81" s="5">
        <v>0.17917</v>
      </c>
      <c r="T81" s="5">
        <v>0.19203999999999999</v>
      </c>
      <c r="U81" s="5">
        <v>0.20412</v>
      </c>
      <c r="V81" s="5">
        <v>0.21485000000000001</v>
      </c>
      <c r="W81" s="5">
        <v>0.22652</v>
      </c>
      <c r="X81" s="5">
        <v>0.24113000000000001</v>
      </c>
      <c r="Y81" s="5">
        <v>0.25731999999999999</v>
      </c>
      <c r="Z81" s="5">
        <v>0.27529999999999999</v>
      </c>
    </row>
    <row r="82" spans="1:26" x14ac:dyDescent="0.3">
      <c r="A82" s="5">
        <v>75</v>
      </c>
      <c r="B82" s="5">
        <v>1.2200000000000001E-2</v>
      </c>
      <c r="C82" s="5">
        <v>2.044E-2</v>
      </c>
      <c r="D82" s="5">
        <v>2.9680000000000002E-2</v>
      </c>
      <c r="E82" s="5">
        <v>4.2759999999999999E-2</v>
      </c>
      <c r="F82" s="5">
        <v>4.8689999999999997E-2</v>
      </c>
      <c r="G82" s="5">
        <v>5.2990000000000002E-2</v>
      </c>
      <c r="H82" s="5">
        <v>5.6329999999999998E-2</v>
      </c>
      <c r="I82" s="5">
        <v>6.2509999999999996E-2</v>
      </c>
      <c r="J82" s="5">
        <v>7.127E-2</v>
      </c>
      <c r="K82" s="5">
        <v>7.9920000000000005E-2</v>
      </c>
      <c r="L82" s="5">
        <v>8.9520000000000002E-2</v>
      </c>
      <c r="M82" s="5">
        <v>0.10357</v>
      </c>
      <c r="N82" s="5">
        <v>0.12003</v>
      </c>
      <c r="O82" s="5">
        <v>0.13442999999999999</v>
      </c>
      <c r="P82" s="5">
        <v>0.15099000000000001</v>
      </c>
      <c r="Q82" s="5">
        <v>0.16583999999999999</v>
      </c>
      <c r="R82" s="5">
        <v>0.17917</v>
      </c>
      <c r="S82" s="5">
        <v>0.19203999999999999</v>
      </c>
      <c r="T82" s="5">
        <v>0.20412</v>
      </c>
      <c r="U82" s="5">
        <v>0.21485000000000001</v>
      </c>
      <c r="V82" s="5">
        <v>0.22652</v>
      </c>
      <c r="W82" s="5">
        <v>0.24113000000000001</v>
      </c>
      <c r="X82" s="5">
        <v>0.25731999999999999</v>
      </c>
      <c r="Y82" s="5">
        <v>0.27529999999999999</v>
      </c>
      <c r="Z82" s="5">
        <v>0.29479</v>
      </c>
    </row>
    <row r="83" spans="1:26" x14ac:dyDescent="0.3">
      <c r="A83" s="5">
        <v>76</v>
      </c>
      <c r="B83" s="5">
        <v>1.332E-2</v>
      </c>
      <c r="C83" s="5">
        <v>2.2009999999999998E-2</v>
      </c>
      <c r="D83" s="5">
        <v>3.184E-2</v>
      </c>
      <c r="E83" s="5">
        <v>4.5620000000000001E-2</v>
      </c>
      <c r="F83" s="5">
        <v>5.1360000000000003E-2</v>
      </c>
      <c r="G83" s="5">
        <v>5.5870000000000003E-2</v>
      </c>
      <c r="H83" s="5">
        <v>6.0789999999999997E-2</v>
      </c>
      <c r="I83" s="5">
        <v>6.9330000000000003E-2</v>
      </c>
      <c r="J83" s="5">
        <v>7.8340000000000007E-2</v>
      </c>
      <c r="K83" s="5">
        <v>8.8459999999999997E-2</v>
      </c>
      <c r="L83" s="5">
        <v>0.10211000000000001</v>
      </c>
      <c r="M83" s="5">
        <v>0.1176</v>
      </c>
      <c r="N83" s="5">
        <v>0.13220999999999999</v>
      </c>
      <c r="O83" s="5">
        <v>0.15</v>
      </c>
      <c r="P83" s="5">
        <v>0.16583999999999999</v>
      </c>
      <c r="Q83" s="5">
        <v>0.17917</v>
      </c>
      <c r="R83" s="5">
        <v>0.19203999999999999</v>
      </c>
      <c r="S83" s="5">
        <v>0.20412</v>
      </c>
      <c r="T83" s="5">
        <v>0.21485000000000001</v>
      </c>
      <c r="U83" s="5">
        <v>0.22652</v>
      </c>
      <c r="V83" s="5">
        <v>0.24113000000000001</v>
      </c>
      <c r="W83" s="5">
        <v>0.25731999999999999</v>
      </c>
      <c r="X83" s="5">
        <v>0.27529999999999999</v>
      </c>
      <c r="Y83" s="5">
        <v>0.29479</v>
      </c>
      <c r="Z83" s="5">
        <v>0.31552000000000002</v>
      </c>
    </row>
    <row r="84" spans="1:26" x14ac:dyDescent="0.3">
      <c r="A84" s="5">
        <v>77</v>
      </c>
      <c r="B84" s="5">
        <v>1.4500000000000001E-2</v>
      </c>
      <c r="C84" s="5">
        <v>2.367E-2</v>
      </c>
      <c r="D84" s="5">
        <v>3.4139999999999997E-2</v>
      </c>
      <c r="E84" s="5">
        <v>4.861E-2</v>
      </c>
      <c r="F84" s="5">
        <v>5.4710000000000002E-2</v>
      </c>
      <c r="G84" s="5">
        <v>5.9810000000000002E-2</v>
      </c>
      <c r="H84" s="5">
        <v>6.6900000000000001E-2</v>
      </c>
      <c r="I84" s="5">
        <v>7.6230000000000006E-2</v>
      </c>
      <c r="J84" s="5">
        <v>8.6699999999999999E-2</v>
      </c>
      <c r="K84" s="5">
        <v>0.10005</v>
      </c>
      <c r="L84" s="5">
        <v>0.11477999999999999</v>
      </c>
      <c r="M84" s="5">
        <v>0.12920999999999999</v>
      </c>
      <c r="N84" s="5">
        <v>0.14791000000000001</v>
      </c>
      <c r="O84" s="5">
        <v>0.16583999999999999</v>
      </c>
      <c r="P84" s="5">
        <v>0.17917</v>
      </c>
      <c r="Q84" s="5">
        <v>0.19203999999999999</v>
      </c>
      <c r="R84" s="5">
        <v>0.20412</v>
      </c>
      <c r="S84" s="5">
        <v>0.21485000000000001</v>
      </c>
      <c r="T84" s="5">
        <v>0.22652</v>
      </c>
      <c r="U84" s="5">
        <v>0.24113000000000001</v>
      </c>
      <c r="V84" s="5">
        <v>0.25731999999999999</v>
      </c>
      <c r="W84" s="5">
        <v>0.27529999999999999</v>
      </c>
      <c r="X84" s="5">
        <v>0.29479</v>
      </c>
      <c r="Y84" s="5">
        <v>0.31552000000000002</v>
      </c>
      <c r="Z84" s="5">
        <v>0.33699000000000001</v>
      </c>
    </row>
    <row r="85" spans="1:26" x14ac:dyDescent="0.3">
      <c r="A85" s="5">
        <v>78</v>
      </c>
      <c r="B85" s="5">
        <v>1.5779999999999999E-2</v>
      </c>
      <c r="C85" s="5">
        <v>2.545E-2</v>
      </c>
      <c r="D85" s="5">
        <v>3.6639999999999999E-2</v>
      </c>
      <c r="E85" s="5">
        <v>5.176E-2</v>
      </c>
      <c r="F85" s="5">
        <v>5.9130000000000002E-2</v>
      </c>
      <c r="G85" s="5">
        <v>6.4630000000000007E-2</v>
      </c>
      <c r="H85" s="5">
        <v>7.3599999999999999E-2</v>
      </c>
      <c r="I85" s="5">
        <v>8.4339999999999998E-2</v>
      </c>
      <c r="J85" s="5">
        <v>9.7369999999999998E-2</v>
      </c>
      <c r="K85" s="5">
        <v>0.11153</v>
      </c>
      <c r="L85" s="5">
        <v>0.12578</v>
      </c>
      <c r="M85" s="5">
        <v>0.14495</v>
      </c>
      <c r="N85" s="5">
        <v>0.16497000000000001</v>
      </c>
      <c r="O85" s="5">
        <v>0.17917</v>
      </c>
      <c r="P85" s="5">
        <v>0.19203999999999999</v>
      </c>
      <c r="Q85" s="5">
        <v>0.20412</v>
      </c>
      <c r="R85" s="5">
        <v>0.21485000000000001</v>
      </c>
      <c r="S85" s="5">
        <v>0.22652</v>
      </c>
      <c r="T85" s="5">
        <v>0.24113000000000001</v>
      </c>
      <c r="U85" s="5">
        <v>0.25731999999999999</v>
      </c>
      <c r="V85" s="5">
        <v>0.27529999999999999</v>
      </c>
      <c r="W85" s="5">
        <v>0.29479</v>
      </c>
      <c r="X85" s="5">
        <v>0.31552000000000002</v>
      </c>
      <c r="Y85" s="5">
        <v>0.33699000000000001</v>
      </c>
      <c r="Z85" s="5">
        <v>0.35854000000000003</v>
      </c>
    </row>
    <row r="86" spans="1:26" x14ac:dyDescent="0.3">
      <c r="A86" s="5">
        <v>79</v>
      </c>
      <c r="B86" s="5">
        <v>1.7170000000000001E-2</v>
      </c>
      <c r="C86" s="5">
        <v>2.7400000000000001E-2</v>
      </c>
      <c r="D86" s="5">
        <v>3.9379999999999998E-2</v>
      </c>
      <c r="E86" s="5">
        <v>5.5329999999999997E-2</v>
      </c>
      <c r="F86" s="5">
        <v>6.4199999999999993E-2</v>
      </c>
      <c r="G86" s="5">
        <v>7.0440000000000003E-2</v>
      </c>
      <c r="H86" s="5">
        <v>8.14E-2</v>
      </c>
      <c r="I86" s="5">
        <v>9.4159999999999994E-2</v>
      </c>
      <c r="J86" s="5">
        <v>0.10775</v>
      </c>
      <c r="K86" s="5">
        <v>0.12180000000000001</v>
      </c>
      <c r="L86" s="5">
        <v>0.14124</v>
      </c>
      <c r="M86" s="5">
        <v>0.16359000000000001</v>
      </c>
      <c r="N86" s="5">
        <v>0.17917</v>
      </c>
      <c r="O86" s="5">
        <v>0.19203999999999999</v>
      </c>
      <c r="P86" s="5">
        <v>0.20412</v>
      </c>
      <c r="Q86" s="5">
        <v>0.21485000000000001</v>
      </c>
      <c r="R86" s="5">
        <v>0.22652</v>
      </c>
      <c r="S86" s="5">
        <v>0.24113000000000001</v>
      </c>
      <c r="T86" s="5">
        <v>0.25731999999999999</v>
      </c>
      <c r="U86" s="5">
        <v>0.27529999999999999</v>
      </c>
      <c r="V86" s="5">
        <v>0.29479</v>
      </c>
      <c r="W86" s="5">
        <v>0.31552000000000002</v>
      </c>
      <c r="X86" s="5">
        <v>0.33699000000000001</v>
      </c>
      <c r="Y86" s="5">
        <v>0.35854000000000003</v>
      </c>
      <c r="Z86" s="5">
        <v>0.37980999999999998</v>
      </c>
    </row>
    <row r="87" spans="1:26" x14ac:dyDescent="0.3">
      <c r="A87" s="5">
        <v>80</v>
      </c>
      <c r="B87" s="5">
        <v>1.873E-2</v>
      </c>
      <c r="C87" s="5">
        <v>2.955E-2</v>
      </c>
      <c r="D87" s="5">
        <v>4.2549999999999998E-2</v>
      </c>
      <c r="E87" s="5">
        <v>5.935E-2</v>
      </c>
      <c r="F87" s="5">
        <v>6.9029999999999994E-2</v>
      </c>
      <c r="G87" s="5">
        <v>7.7869999999999995E-2</v>
      </c>
      <c r="H87" s="5">
        <v>9.0429999999999996E-2</v>
      </c>
      <c r="I87" s="5">
        <v>0.10353999999999999</v>
      </c>
      <c r="J87" s="5">
        <v>0.11713</v>
      </c>
      <c r="K87" s="5">
        <v>0.13644000000000001</v>
      </c>
      <c r="L87" s="5">
        <v>0.16095999999999999</v>
      </c>
      <c r="M87" s="5">
        <v>0.17917</v>
      </c>
      <c r="N87" s="5">
        <v>0.19203999999999999</v>
      </c>
      <c r="O87" s="5">
        <v>0.20412</v>
      </c>
      <c r="P87" s="5">
        <v>0.21485000000000001</v>
      </c>
      <c r="Q87" s="5">
        <v>0.22652</v>
      </c>
      <c r="R87" s="5">
        <v>0.24113000000000001</v>
      </c>
      <c r="S87" s="5">
        <v>0.25731999999999999</v>
      </c>
      <c r="T87" s="5">
        <v>0.27529999999999999</v>
      </c>
      <c r="U87" s="5">
        <v>0.29479</v>
      </c>
      <c r="V87" s="5">
        <v>0.31552000000000002</v>
      </c>
      <c r="W87" s="5">
        <v>0.33699000000000001</v>
      </c>
      <c r="X87" s="5">
        <v>0.35854000000000003</v>
      </c>
      <c r="Y87" s="5">
        <v>0.37980999999999998</v>
      </c>
      <c r="Z87" s="5">
        <v>0.40044000000000002</v>
      </c>
    </row>
    <row r="88" spans="1:26" x14ac:dyDescent="0.3">
      <c r="A88" s="5">
        <v>81</v>
      </c>
      <c r="B88" s="5">
        <v>2.0480000000000002E-2</v>
      </c>
      <c r="C88" s="5">
        <v>3.2079999999999997E-2</v>
      </c>
      <c r="D88" s="5">
        <v>4.6199999999999998E-2</v>
      </c>
      <c r="E88" s="5">
        <v>6.361E-2</v>
      </c>
      <c r="F88" s="5">
        <v>7.4230000000000004E-2</v>
      </c>
      <c r="G88" s="5">
        <v>8.5769999999999999E-2</v>
      </c>
      <c r="H88" s="5">
        <v>9.8909999999999998E-2</v>
      </c>
      <c r="I88" s="5">
        <v>0.11191</v>
      </c>
      <c r="J88" s="5">
        <v>0.13059999999999999</v>
      </c>
      <c r="K88" s="5">
        <v>0.15675</v>
      </c>
      <c r="L88" s="5">
        <v>0.17832000000000001</v>
      </c>
      <c r="M88" s="5">
        <v>0.19203999999999999</v>
      </c>
      <c r="N88" s="5">
        <v>0.20412</v>
      </c>
      <c r="O88" s="5">
        <v>0.21485000000000001</v>
      </c>
      <c r="P88" s="5">
        <v>0.22652</v>
      </c>
      <c r="Q88" s="5">
        <v>0.24113000000000001</v>
      </c>
      <c r="R88" s="5">
        <v>0.25731999999999999</v>
      </c>
      <c r="S88" s="5">
        <v>0.27529999999999999</v>
      </c>
      <c r="T88" s="5">
        <v>0.29479</v>
      </c>
      <c r="U88" s="5">
        <v>0.31552000000000002</v>
      </c>
      <c r="V88" s="5">
        <v>0.33699000000000001</v>
      </c>
      <c r="W88" s="5">
        <v>0.35854000000000003</v>
      </c>
      <c r="X88" s="5">
        <v>0.37980999999999998</v>
      </c>
      <c r="Y88" s="5">
        <v>0.40044000000000002</v>
      </c>
      <c r="Z88" s="5">
        <v>0.42009000000000002</v>
      </c>
    </row>
    <row r="89" spans="1:26" x14ac:dyDescent="0.3">
      <c r="A89" s="5">
        <v>82</v>
      </c>
      <c r="B89" s="5">
        <v>2.2540000000000001E-2</v>
      </c>
      <c r="C89" s="5">
        <v>3.5009999999999999E-2</v>
      </c>
      <c r="D89" s="5">
        <v>5.0180000000000002E-2</v>
      </c>
      <c r="E89" s="5">
        <v>6.8070000000000006E-2</v>
      </c>
      <c r="F89" s="5">
        <v>7.9780000000000004E-2</v>
      </c>
      <c r="G89" s="5">
        <v>9.2780000000000001E-2</v>
      </c>
      <c r="H89" s="5">
        <v>0.10613</v>
      </c>
      <c r="I89" s="5">
        <v>0.12381</v>
      </c>
      <c r="J89" s="5">
        <v>0.15115000000000001</v>
      </c>
      <c r="K89" s="5">
        <v>0.17662</v>
      </c>
      <c r="L89" s="5">
        <v>0.19203999999999999</v>
      </c>
      <c r="M89" s="5">
        <v>0.20412</v>
      </c>
      <c r="N89" s="5">
        <v>0.21485000000000001</v>
      </c>
      <c r="O89" s="5">
        <v>0.22652</v>
      </c>
      <c r="P89" s="5">
        <v>0.24113000000000001</v>
      </c>
      <c r="Q89" s="5">
        <v>0.25731999999999999</v>
      </c>
      <c r="R89" s="5">
        <v>0.27529999999999999</v>
      </c>
      <c r="S89" s="5">
        <v>0.29479</v>
      </c>
      <c r="T89" s="5">
        <v>0.31552000000000002</v>
      </c>
      <c r="U89" s="5">
        <v>0.33699000000000001</v>
      </c>
      <c r="V89" s="5">
        <v>0.35854000000000003</v>
      </c>
      <c r="W89" s="5">
        <v>0.37980999999999998</v>
      </c>
      <c r="X89" s="5">
        <v>0.40044000000000002</v>
      </c>
      <c r="Y89" s="5">
        <v>0.42009000000000002</v>
      </c>
      <c r="Z89" s="5">
        <v>0.43840000000000001</v>
      </c>
    </row>
    <row r="90" spans="1:26" x14ac:dyDescent="0.3">
      <c r="A90" s="5">
        <v>83</v>
      </c>
      <c r="B90" s="5">
        <v>2.496E-2</v>
      </c>
      <c r="C90" s="5">
        <v>3.8269999999999998E-2</v>
      </c>
      <c r="D90" s="5">
        <v>5.4460000000000001E-2</v>
      </c>
      <c r="E90" s="5">
        <v>7.2720000000000007E-2</v>
      </c>
      <c r="F90" s="5">
        <v>8.5569999999999993E-2</v>
      </c>
      <c r="G90" s="5">
        <v>9.912E-2</v>
      </c>
      <c r="H90" s="5">
        <v>0.11605</v>
      </c>
      <c r="I90" s="5">
        <v>0.14413999999999999</v>
      </c>
      <c r="J90" s="5">
        <v>0.17408999999999999</v>
      </c>
      <c r="K90" s="5">
        <v>0.19203999999999999</v>
      </c>
      <c r="L90" s="5">
        <v>0.20412</v>
      </c>
      <c r="M90" s="5">
        <v>0.21485000000000001</v>
      </c>
      <c r="N90" s="5">
        <v>0.22652</v>
      </c>
      <c r="O90" s="5">
        <v>0.24113000000000001</v>
      </c>
      <c r="P90" s="5">
        <v>0.25731999999999999</v>
      </c>
      <c r="Q90" s="5">
        <v>0.27529999999999999</v>
      </c>
      <c r="R90" s="5">
        <v>0.29479</v>
      </c>
      <c r="S90" s="5">
        <v>0.31552000000000002</v>
      </c>
      <c r="T90" s="5">
        <v>0.33699000000000001</v>
      </c>
      <c r="U90" s="5">
        <v>0.35854000000000003</v>
      </c>
      <c r="V90" s="5">
        <v>0.37980999999999998</v>
      </c>
      <c r="W90" s="5">
        <v>0.40044000000000002</v>
      </c>
      <c r="X90" s="5">
        <v>0.42009000000000002</v>
      </c>
      <c r="Y90" s="5">
        <v>0.43840000000000001</v>
      </c>
      <c r="Z90" s="5">
        <v>0.45501000000000003</v>
      </c>
    </row>
    <row r="91" spans="1:26" x14ac:dyDescent="0.3">
      <c r="A91" s="5">
        <v>84</v>
      </c>
      <c r="B91" s="5">
        <v>2.7689999999999999E-2</v>
      </c>
      <c r="C91" s="5">
        <v>4.1840000000000002E-2</v>
      </c>
      <c r="D91" s="5">
        <v>5.9029999999999999E-2</v>
      </c>
      <c r="E91" s="5">
        <v>7.7450000000000005E-2</v>
      </c>
      <c r="F91" s="5">
        <v>9.11E-2</v>
      </c>
      <c r="G91" s="5">
        <v>0.10734</v>
      </c>
      <c r="H91" s="5">
        <v>0.13572000000000001</v>
      </c>
      <c r="I91" s="5">
        <v>0.16888</v>
      </c>
      <c r="J91" s="5">
        <v>0.19203999999999999</v>
      </c>
      <c r="K91" s="5">
        <v>0.20412</v>
      </c>
      <c r="L91" s="5">
        <v>0.21485000000000001</v>
      </c>
      <c r="M91" s="5">
        <v>0.22652</v>
      </c>
      <c r="N91" s="5">
        <v>0.24113000000000001</v>
      </c>
      <c r="O91" s="5">
        <v>0.25731999999999999</v>
      </c>
      <c r="P91" s="5">
        <v>0.27529999999999999</v>
      </c>
      <c r="Q91" s="5">
        <v>0.29479</v>
      </c>
      <c r="R91" s="5">
        <v>0.31552000000000002</v>
      </c>
      <c r="S91" s="5">
        <v>0.33699000000000001</v>
      </c>
      <c r="T91" s="5">
        <v>0.35854000000000003</v>
      </c>
      <c r="U91" s="5">
        <v>0.37980999999999998</v>
      </c>
      <c r="V91" s="5">
        <v>0.40044000000000002</v>
      </c>
      <c r="W91" s="5">
        <v>0.42009000000000002</v>
      </c>
      <c r="X91" s="5">
        <v>0.43840000000000001</v>
      </c>
      <c r="Y91" s="5">
        <v>0.45501000000000003</v>
      </c>
      <c r="Z91" s="5">
        <v>0.46955999999999998</v>
      </c>
    </row>
    <row r="92" spans="1:26" x14ac:dyDescent="0.3">
      <c r="A92" s="5">
        <v>85</v>
      </c>
      <c r="B92" s="5">
        <v>3.074E-2</v>
      </c>
      <c r="C92" s="5">
        <v>4.5740000000000003E-2</v>
      </c>
      <c r="D92" s="5">
        <v>6.3820000000000002E-2</v>
      </c>
      <c r="E92" s="5">
        <v>8.2089999999999996E-2</v>
      </c>
      <c r="F92" s="5">
        <v>9.7470000000000001E-2</v>
      </c>
      <c r="G92" s="5">
        <v>0.12590000000000001</v>
      </c>
      <c r="H92" s="5">
        <v>0.161</v>
      </c>
      <c r="I92" s="5">
        <v>0.18983</v>
      </c>
      <c r="J92" s="5">
        <v>0.20412</v>
      </c>
      <c r="K92" s="5">
        <v>0.21485000000000001</v>
      </c>
      <c r="L92" s="5">
        <v>0.22652</v>
      </c>
      <c r="M92" s="5">
        <v>0.24113000000000001</v>
      </c>
      <c r="N92" s="5">
        <v>0.25731999999999999</v>
      </c>
      <c r="O92" s="5">
        <v>0.27529999999999999</v>
      </c>
      <c r="P92" s="5">
        <v>0.29479</v>
      </c>
      <c r="Q92" s="5">
        <v>0.31552000000000002</v>
      </c>
      <c r="R92" s="5">
        <v>0.33699000000000001</v>
      </c>
      <c r="S92" s="5">
        <v>0.35854000000000003</v>
      </c>
      <c r="T92" s="5">
        <v>0.37980999999999998</v>
      </c>
      <c r="U92" s="5">
        <v>0.40044000000000002</v>
      </c>
      <c r="V92" s="5">
        <v>0.42009000000000002</v>
      </c>
      <c r="W92" s="5">
        <v>0.43840000000000001</v>
      </c>
      <c r="X92" s="5">
        <v>0.45501000000000003</v>
      </c>
      <c r="Y92" s="5">
        <v>0.46955999999999998</v>
      </c>
      <c r="Z92" s="5">
        <v>0.48170000000000002</v>
      </c>
    </row>
    <row r="93" spans="1:26" x14ac:dyDescent="0.3">
      <c r="A93" s="5">
        <v>86</v>
      </c>
      <c r="B93" s="5">
        <v>3.4139999999999997E-2</v>
      </c>
      <c r="C93" s="5">
        <v>4.9950000000000001E-2</v>
      </c>
      <c r="D93" s="5">
        <v>6.8650000000000003E-2</v>
      </c>
      <c r="E93" s="5">
        <v>8.6430000000000007E-2</v>
      </c>
      <c r="F93" s="5">
        <v>0.11466999999999999</v>
      </c>
      <c r="G93" s="5">
        <v>0.15042</v>
      </c>
      <c r="H93" s="5">
        <v>0.18546000000000001</v>
      </c>
      <c r="I93" s="5">
        <v>0.20412</v>
      </c>
      <c r="J93" s="5">
        <v>0.21485000000000001</v>
      </c>
      <c r="K93" s="5">
        <v>0.22652</v>
      </c>
      <c r="L93" s="5">
        <v>0.24113000000000001</v>
      </c>
      <c r="M93" s="5">
        <v>0.25731999999999999</v>
      </c>
      <c r="N93" s="5">
        <v>0.27529999999999999</v>
      </c>
      <c r="O93" s="5">
        <v>0.29479</v>
      </c>
      <c r="P93" s="5">
        <v>0.31552000000000002</v>
      </c>
      <c r="Q93" s="5">
        <v>0.33699000000000001</v>
      </c>
      <c r="R93" s="5">
        <v>0.35854000000000003</v>
      </c>
      <c r="S93" s="5">
        <v>0.37980999999999998</v>
      </c>
      <c r="T93" s="5">
        <v>0.40044000000000002</v>
      </c>
      <c r="U93" s="5">
        <v>0.42009000000000002</v>
      </c>
      <c r="V93" s="5">
        <v>0.43840000000000001</v>
      </c>
      <c r="W93" s="5">
        <v>0.45501000000000003</v>
      </c>
      <c r="X93" s="5">
        <v>0.46955999999999998</v>
      </c>
      <c r="Y93" s="5">
        <v>0.48170000000000002</v>
      </c>
      <c r="Z93" s="5">
        <v>0.49107000000000001</v>
      </c>
    </row>
    <row r="94" spans="1:26" x14ac:dyDescent="0.3">
      <c r="A94" s="5">
        <v>87</v>
      </c>
      <c r="B94" s="5">
        <v>3.7879999999999997E-2</v>
      </c>
      <c r="C94" s="5">
        <v>5.4339999999999999E-2</v>
      </c>
      <c r="D94" s="5">
        <v>7.3359999999999995E-2</v>
      </c>
      <c r="E94" s="5">
        <v>9.6629999999999994E-2</v>
      </c>
      <c r="F94" s="5">
        <v>0.13711000000000001</v>
      </c>
      <c r="G94" s="5">
        <v>0.17896999999999999</v>
      </c>
      <c r="H94" s="5">
        <v>0.20412</v>
      </c>
      <c r="I94" s="5">
        <v>0.21485000000000001</v>
      </c>
      <c r="J94" s="5">
        <v>0.22652</v>
      </c>
      <c r="K94" s="5">
        <v>0.24113000000000001</v>
      </c>
      <c r="L94" s="5">
        <v>0.25731999999999999</v>
      </c>
      <c r="M94" s="5">
        <v>0.27529999999999999</v>
      </c>
      <c r="N94" s="5">
        <v>0.29479</v>
      </c>
      <c r="O94" s="5">
        <v>0.31552000000000002</v>
      </c>
      <c r="P94" s="5">
        <v>0.33699000000000001</v>
      </c>
      <c r="Q94" s="5">
        <v>0.35854000000000003</v>
      </c>
      <c r="R94" s="5">
        <v>0.37980999999999998</v>
      </c>
      <c r="S94" s="5">
        <v>0.40044000000000002</v>
      </c>
      <c r="T94" s="5">
        <v>0.42009000000000002</v>
      </c>
      <c r="U94" s="5">
        <v>0.43840000000000001</v>
      </c>
      <c r="V94" s="5">
        <v>0.45501000000000003</v>
      </c>
      <c r="W94" s="5">
        <v>0.46955999999999998</v>
      </c>
      <c r="X94" s="5">
        <v>0.48170000000000002</v>
      </c>
      <c r="Y94" s="5">
        <v>0.49107000000000001</v>
      </c>
      <c r="Z94" s="5">
        <v>0.49730999999999997</v>
      </c>
    </row>
    <row r="95" spans="1:26" x14ac:dyDescent="0.3">
      <c r="A95" s="5">
        <v>88</v>
      </c>
      <c r="B95" s="5">
        <v>4.19E-2</v>
      </c>
      <c r="C95" s="5">
        <v>5.926E-2</v>
      </c>
      <c r="D95" s="5">
        <v>7.7850000000000003E-2</v>
      </c>
      <c r="E95" s="5">
        <v>0.11537</v>
      </c>
      <c r="F95" s="5">
        <v>0.15956000000000001</v>
      </c>
      <c r="G95" s="5">
        <v>0.20412</v>
      </c>
      <c r="H95" s="5">
        <v>0.21485000000000001</v>
      </c>
      <c r="I95" s="5">
        <v>0.22652</v>
      </c>
      <c r="J95" s="5">
        <v>0.24113000000000001</v>
      </c>
      <c r="K95" s="5">
        <v>0.25731999999999999</v>
      </c>
      <c r="L95" s="5">
        <v>0.27529999999999999</v>
      </c>
      <c r="M95" s="5">
        <v>0.29479</v>
      </c>
      <c r="N95" s="5">
        <v>0.31552000000000002</v>
      </c>
      <c r="O95" s="5">
        <v>0.33699000000000001</v>
      </c>
      <c r="P95" s="5">
        <v>0.35854000000000003</v>
      </c>
      <c r="Q95" s="5">
        <v>0.37980999999999998</v>
      </c>
      <c r="R95" s="5">
        <v>0.40044000000000002</v>
      </c>
      <c r="S95" s="5">
        <v>0.42009000000000002</v>
      </c>
      <c r="T95" s="5">
        <v>0.43840000000000001</v>
      </c>
      <c r="U95" s="5">
        <v>0.45501000000000003</v>
      </c>
      <c r="V95" s="5">
        <v>0.46955999999999998</v>
      </c>
      <c r="W95" s="5">
        <v>0.48170000000000002</v>
      </c>
      <c r="X95" s="5">
        <v>0.49107000000000001</v>
      </c>
      <c r="Y95" s="5">
        <v>0.49730999999999997</v>
      </c>
      <c r="Z95" s="5">
        <v>0.5</v>
      </c>
    </row>
    <row r="96" spans="1:26" x14ac:dyDescent="0.3">
      <c r="A96" s="5">
        <v>89</v>
      </c>
      <c r="B96" s="5">
        <v>4.6109999999999998E-2</v>
      </c>
      <c r="C96" s="5">
        <v>6.479E-2</v>
      </c>
      <c r="D96" s="5">
        <v>8.6430000000000007E-2</v>
      </c>
      <c r="E96" s="5">
        <v>0.13824</v>
      </c>
      <c r="F96" s="5">
        <v>0.19125</v>
      </c>
      <c r="G96" s="5">
        <v>0.21485000000000001</v>
      </c>
      <c r="H96" s="5">
        <v>0.22652</v>
      </c>
      <c r="I96" s="5">
        <v>0.24113000000000001</v>
      </c>
      <c r="J96" s="5">
        <v>0.25731999999999999</v>
      </c>
      <c r="K96" s="5">
        <v>0.27529999999999999</v>
      </c>
      <c r="L96" s="5">
        <v>0.29479</v>
      </c>
      <c r="M96" s="5">
        <v>0.31552000000000002</v>
      </c>
      <c r="N96" s="5">
        <v>0.33699000000000001</v>
      </c>
      <c r="O96" s="5">
        <v>0.35854000000000003</v>
      </c>
      <c r="P96" s="5">
        <v>0.37980999999999998</v>
      </c>
      <c r="Q96" s="5">
        <v>0.40044000000000002</v>
      </c>
      <c r="R96" s="5">
        <v>0.42009000000000002</v>
      </c>
      <c r="S96" s="5">
        <v>0.43840000000000001</v>
      </c>
      <c r="T96" s="5">
        <v>0.45501000000000003</v>
      </c>
      <c r="U96" s="5">
        <v>0.46955999999999998</v>
      </c>
      <c r="V96" s="5">
        <v>0.48170000000000002</v>
      </c>
      <c r="W96" s="5">
        <v>0.49107000000000001</v>
      </c>
      <c r="X96" s="5">
        <v>0.49730999999999997</v>
      </c>
      <c r="Y96" s="5">
        <v>0.5</v>
      </c>
      <c r="Z96" s="5">
        <v>0.5</v>
      </c>
    </row>
    <row r="97" spans="1:26" x14ac:dyDescent="0.3">
      <c r="A97" s="5">
        <v>90</v>
      </c>
      <c r="B97" s="5">
        <v>5.1159999999999997E-2</v>
      </c>
      <c r="C97" s="5">
        <v>7.2959999999999997E-2</v>
      </c>
      <c r="D97" s="5">
        <v>0.11989</v>
      </c>
      <c r="E97" s="5">
        <v>0.17871000000000001</v>
      </c>
      <c r="F97" s="5">
        <v>0.21485000000000001</v>
      </c>
      <c r="G97" s="5">
        <v>0.22652</v>
      </c>
      <c r="H97" s="5">
        <v>0.24113000000000001</v>
      </c>
      <c r="I97" s="5">
        <v>0.25731999999999999</v>
      </c>
      <c r="J97" s="5">
        <v>0.27529999999999999</v>
      </c>
      <c r="K97" s="5">
        <v>0.29479</v>
      </c>
      <c r="L97" s="5">
        <v>0.31552000000000002</v>
      </c>
      <c r="M97" s="5">
        <v>0.33699000000000001</v>
      </c>
      <c r="N97" s="5">
        <v>0.35854000000000003</v>
      </c>
      <c r="O97" s="5">
        <v>0.37980999999999998</v>
      </c>
      <c r="P97" s="5">
        <v>0.40044000000000002</v>
      </c>
      <c r="Q97" s="5">
        <v>0.42009000000000002</v>
      </c>
      <c r="R97" s="5">
        <v>0.43840000000000001</v>
      </c>
      <c r="S97" s="5">
        <v>0.45501000000000003</v>
      </c>
      <c r="T97" s="5">
        <v>0.46955999999999998</v>
      </c>
      <c r="U97" s="5">
        <v>0.48170000000000002</v>
      </c>
      <c r="V97" s="5">
        <v>0.49107000000000001</v>
      </c>
      <c r="W97" s="5">
        <v>0.49730999999999997</v>
      </c>
      <c r="X97" s="5">
        <v>0.5</v>
      </c>
      <c r="Y97" s="5">
        <v>0.5</v>
      </c>
      <c r="Z97" s="5">
        <v>0.5</v>
      </c>
    </row>
    <row r="98" spans="1:26" x14ac:dyDescent="0.3">
      <c r="A98" s="5">
        <v>91</v>
      </c>
      <c r="B98" s="5">
        <v>5.8869999999999999E-2</v>
      </c>
      <c r="C98" s="5">
        <v>9.5409999999999995E-2</v>
      </c>
      <c r="D98" s="5">
        <v>0.17741000000000001</v>
      </c>
      <c r="E98" s="5">
        <v>0.21485000000000001</v>
      </c>
      <c r="F98" s="5">
        <v>0.22652</v>
      </c>
      <c r="G98" s="5">
        <v>0.24113000000000001</v>
      </c>
      <c r="H98" s="5">
        <v>0.25731999999999999</v>
      </c>
      <c r="I98" s="5">
        <v>0.27529999999999999</v>
      </c>
      <c r="J98" s="5">
        <v>0.29479</v>
      </c>
      <c r="K98" s="5">
        <v>0.31552000000000002</v>
      </c>
      <c r="L98" s="5">
        <v>0.33699000000000001</v>
      </c>
      <c r="M98" s="5">
        <v>0.35854000000000003</v>
      </c>
      <c r="N98" s="5">
        <v>0.37980999999999998</v>
      </c>
      <c r="O98" s="5">
        <v>0.40044000000000002</v>
      </c>
      <c r="P98" s="5">
        <v>0.42009000000000002</v>
      </c>
      <c r="Q98" s="5">
        <v>0.43840000000000001</v>
      </c>
      <c r="R98" s="5">
        <v>0.45501000000000003</v>
      </c>
      <c r="S98" s="5">
        <v>0.46955999999999998</v>
      </c>
      <c r="T98" s="5">
        <v>0.48170000000000002</v>
      </c>
      <c r="U98" s="5">
        <v>0.49107000000000001</v>
      </c>
      <c r="V98" s="5">
        <v>0.49730999999999997</v>
      </c>
      <c r="W98" s="5">
        <v>0.5</v>
      </c>
      <c r="X98" s="5">
        <v>0.5</v>
      </c>
      <c r="Y98" s="5">
        <v>0.5</v>
      </c>
      <c r="Z98" s="5">
        <v>0.5</v>
      </c>
    </row>
    <row r="99" spans="1:26" x14ac:dyDescent="0.3">
      <c r="A99" s="5">
        <v>92</v>
      </c>
      <c r="B99" s="5">
        <v>7.0749999999999993E-2</v>
      </c>
      <c r="C99" s="5">
        <v>0.1326</v>
      </c>
      <c r="D99" s="5">
        <v>0.21485000000000001</v>
      </c>
      <c r="E99" s="5">
        <v>0.22652</v>
      </c>
      <c r="F99" s="5">
        <v>0.24113000000000001</v>
      </c>
      <c r="G99" s="5">
        <v>0.25731999999999999</v>
      </c>
      <c r="H99" s="5">
        <v>0.27529999999999999</v>
      </c>
      <c r="I99" s="5">
        <v>0.29479</v>
      </c>
      <c r="J99" s="5">
        <v>0.31552000000000002</v>
      </c>
      <c r="K99" s="5">
        <v>0.33699000000000001</v>
      </c>
      <c r="L99" s="5">
        <v>0.35854000000000003</v>
      </c>
      <c r="M99" s="5">
        <v>0.37980999999999998</v>
      </c>
      <c r="N99" s="5">
        <v>0.40044000000000002</v>
      </c>
      <c r="O99" s="5">
        <v>0.42009000000000002</v>
      </c>
      <c r="P99" s="5">
        <v>0.43840000000000001</v>
      </c>
      <c r="Q99" s="5">
        <v>0.45501000000000003</v>
      </c>
      <c r="R99" s="5">
        <v>0.46955999999999998</v>
      </c>
      <c r="S99" s="5">
        <v>0.48170000000000002</v>
      </c>
      <c r="T99" s="5">
        <v>0.49107000000000001</v>
      </c>
      <c r="U99" s="5">
        <v>0.49730999999999997</v>
      </c>
      <c r="V99" s="5">
        <v>0.5</v>
      </c>
      <c r="W99" s="5">
        <v>0.5</v>
      </c>
      <c r="X99" s="5">
        <v>0.5</v>
      </c>
      <c r="Y99" s="5">
        <v>0.5</v>
      </c>
      <c r="Z99" s="5">
        <v>0.5</v>
      </c>
    </row>
    <row r="100" spans="1:26" x14ac:dyDescent="0.3">
      <c r="A100" s="5">
        <v>93</v>
      </c>
      <c r="B100" s="5">
        <v>8.7359999999999993E-2</v>
      </c>
      <c r="C100" s="5">
        <v>0.16178999999999999</v>
      </c>
      <c r="D100" s="5">
        <v>0.22652</v>
      </c>
      <c r="E100" s="5">
        <v>0.24113000000000001</v>
      </c>
      <c r="F100" s="5">
        <v>0.25731999999999999</v>
      </c>
      <c r="G100" s="5">
        <v>0.27529999999999999</v>
      </c>
      <c r="H100" s="5">
        <v>0.29479</v>
      </c>
      <c r="I100" s="5">
        <v>0.31552000000000002</v>
      </c>
      <c r="J100" s="5">
        <v>0.33699000000000001</v>
      </c>
      <c r="K100" s="5">
        <v>0.35854000000000003</v>
      </c>
      <c r="L100" s="5">
        <v>0.37980999999999998</v>
      </c>
      <c r="M100" s="5">
        <v>0.40044000000000002</v>
      </c>
      <c r="N100" s="5">
        <v>0.42009000000000002</v>
      </c>
      <c r="O100" s="5">
        <v>0.43840000000000001</v>
      </c>
      <c r="P100" s="5">
        <v>0.45501000000000003</v>
      </c>
      <c r="Q100" s="5">
        <v>0.46955999999999998</v>
      </c>
      <c r="R100" s="5">
        <v>0.48170000000000002</v>
      </c>
      <c r="S100" s="5">
        <v>0.49107000000000001</v>
      </c>
      <c r="T100" s="5">
        <v>0.49730999999999997</v>
      </c>
      <c r="U100" s="5">
        <v>0.5</v>
      </c>
      <c r="V100" s="5">
        <v>0.5</v>
      </c>
      <c r="W100" s="5">
        <v>0.5</v>
      </c>
      <c r="X100" s="5">
        <v>0.5</v>
      </c>
      <c r="Y100" s="5">
        <v>0.5</v>
      </c>
      <c r="Z100" s="5">
        <v>0.5</v>
      </c>
    </row>
    <row r="101" spans="1:26" x14ac:dyDescent="0.3">
      <c r="A101" s="5">
        <v>94</v>
      </c>
      <c r="B101" s="5">
        <v>0.10895000000000001</v>
      </c>
      <c r="C101" s="5">
        <v>0.19978000000000001</v>
      </c>
      <c r="D101" s="5">
        <v>0.24113000000000001</v>
      </c>
      <c r="E101" s="5">
        <v>0.25731999999999999</v>
      </c>
      <c r="F101" s="5">
        <v>0.27529999999999999</v>
      </c>
      <c r="G101" s="5">
        <v>0.29479</v>
      </c>
      <c r="H101" s="5">
        <v>0.31552000000000002</v>
      </c>
      <c r="I101" s="5">
        <v>0.33699000000000001</v>
      </c>
      <c r="J101" s="5">
        <v>0.35854000000000003</v>
      </c>
      <c r="K101" s="5">
        <v>0.37980999999999998</v>
      </c>
      <c r="L101" s="5">
        <v>0.40044000000000002</v>
      </c>
      <c r="M101" s="5">
        <v>0.42009000000000002</v>
      </c>
      <c r="N101" s="5">
        <v>0.43840000000000001</v>
      </c>
      <c r="O101" s="5">
        <v>0.45501000000000003</v>
      </c>
      <c r="P101" s="5">
        <v>0.46955999999999998</v>
      </c>
      <c r="Q101" s="5">
        <v>0.48170000000000002</v>
      </c>
      <c r="R101" s="5">
        <v>0.49107000000000001</v>
      </c>
      <c r="S101" s="5">
        <v>0.49730999999999997</v>
      </c>
      <c r="T101" s="5">
        <v>0.5</v>
      </c>
      <c r="U101" s="5">
        <v>0.5</v>
      </c>
      <c r="V101" s="5">
        <v>0.5</v>
      </c>
      <c r="W101" s="5">
        <v>0.5</v>
      </c>
      <c r="X101" s="5">
        <v>0.5</v>
      </c>
      <c r="Y101" s="5">
        <v>0.5</v>
      </c>
      <c r="Z101" s="5">
        <v>0.5</v>
      </c>
    </row>
    <row r="102" spans="1:26" x14ac:dyDescent="0.3">
      <c r="A102" s="5">
        <v>95</v>
      </c>
      <c r="B102" s="5">
        <v>0.13703000000000001</v>
      </c>
      <c r="C102" s="5">
        <v>0.24113000000000001</v>
      </c>
      <c r="D102" s="5">
        <v>0.25731999999999999</v>
      </c>
      <c r="E102" s="5">
        <v>0.27529999999999999</v>
      </c>
      <c r="F102" s="5">
        <v>0.29479</v>
      </c>
      <c r="G102" s="5">
        <v>0.31552000000000002</v>
      </c>
      <c r="H102" s="5">
        <v>0.33699000000000001</v>
      </c>
      <c r="I102" s="5">
        <v>0.35854000000000003</v>
      </c>
      <c r="J102" s="5">
        <v>0.37980999999999998</v>
      </c>
      <c r="K102" s="5">
        <v>0.40044000000000002</v>
      </c>
      <c r="L102" s="5">
        <v>0.42009000000000002</v>
      </c>
      <c r="M102" s="5">
        <v>0.43840000000000001</v>
      </c>
      <c r="N102" s="5">
        <v>0.45501000000000003</v>
      </c>
      <c r="O102" s="5">
        <v>0.46955999999999998</v>
      </c>
      <c r="P102" s="5">
        <v>0.48170000000000002</v>
      </c>
      <c r="Q102" s="5">
        <v>0.49107000000000001</v>
      </c>
      <c r="R102" s="5">
        <v>0.49730999999999997</v>
      </c>
      <c r="S102" s="5">
        <v>0.5</v>
      </c>
      <c r="T102" s="5">
        <v>0.5</v>
      </c>
      <c r="U102" s="5">
        <v>0.5</v>
      </c>
      <c r="V102" s="5">
        <v>0.5</v>
      </c>
      <c r="W102" s="5">
        <v>0.5</v>
      </c>
      <c r="X102" s="5">
        <v>0.5</v>
      </c>
      <c r="Y102" s="5">
        <v>0.5</v>
      </c>
      <c r="Z102" s="5">
        <v>0.5</v>
      </c>
    </row>
    <row r="104" spans="1:26" x14ac:dyDescent="0.3">
      <c r="A104" s="5" t="s">
        <v>32</v>
      </c>
      <c r="B104" s="5" t="s">
        <v>52</v>
      </c>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x14ac:dyDescent="0.3">
      <c r="A105" s="5" t="s">
        <v>24</v>
      </c>
      <c r="B105" s="5" t="s">
        <v>269</v>
      </c>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x14ac:dyDescent="0.3">
      <c r="A106" s="5" t="s">
        <v>34</v>
      </c>
      <c r="B106" s="5" t="s">
        <v>35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x14ac:dyDescent="0.3">
      <c r="A107" s="5" t="s">
        <v>36</v>
      </c>
      <c r="B107" s="5" t="s">
        <v>37</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x14ac:dyDescent="0.3">
      <c r="A108" s="5" t="s">
        <v>38</v>
      </c>
      <c r="B108" s="5" t="s">
        <v>39</v>
      </c>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x14ac:dyDescent="0.3">
      <c r="A109" s="5" t="s">
        <v>40</v>
      </c>
      <c r="B109" s="5" t="s">
        <v>4</v>
      </c>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x14ac:dyDescent="0.3">
      <c r="A110" s="5" t="s">
        <v>42</v>
      </c>
      <c r="B110" s="5" t="s">
        <v>4</v>
      </c>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x14ac:dyDescent="0.3">
      <c r="A111" s="5" t="s">
        <v>44</v>
      </c>
      <c r="B111" s="5" t="s">
        <v>4</v>
      </c>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x14ac:dyDescent="0.3">
      <c r="A112" s="5" t="s">
        <v>45</v>
      </c>
      <c r="B112" s="5" t="s">
        <v>46</v>
      </c>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 x14ac:dyDescent="0.3">
      <c r="A113" s="5" t="s">
        <v>47</v>
      </c>
      <c r="B113" s="5" t="s">
        <v>270</v>
      </c>
    </row>
    <row r="114" spans="1:2" x14ac:dyDescent="0.3">
      <c r="A114" s="5" t="s">
        <v>50</v>
      </c>
      <c r="B114" s="5" t="s">
        <v>33</v>
      </c>
    </row>
    <row r="116" spans="1:2" x14ac:dyDescent="0.3">
      <c r="A116" s="5" t="s">
        <v>51</v>
      </c>
      <c r="B116" s="5" t="s">
        <v>33</v>
      </c>
    </row>
    <row r="117" spans="1:2" x14ac:dyDescent="0.3">
      <c r="A117" s="5" t="s">
        <v>46</v>
      </c>
      <c r="B117" s="5" t="s">
        <v>59</v>
      </c>
    </row>
    <row r="118" spans="1:2" x14ac:dyDescent="0.3">
      <c r="A118" s="5" t="s">
        <v>53</v>
      </c>
      <c r="B118" s="5" t="s">
        <v>60</v>
      </c>
    </row>
    <row r="119" spans="1:2" x14ac:dyDescent="0.3">
      <c r="A119" s="5" t="s">
        <v>54</v>
      </c>
      <c r="B119" s="5" t="s">
        <v>61</v>
      </c>
    </row>
    <row r="120" spans="1:2" x14ac:dyDescent="0.3">
      <c r="A120" s="5" t="s">
        <v>55</v>
      </c>
      <c r="B120" s="5" t="s">
        <v>62</v>
      </c>
    </row>
    <row r="121" spans="1:2" x14ac:dyDescent="0.3">
      <c r="A121" s="5" t="s">
        <v>56</v>
      </c>
      <c r="B121" s="5" t="s">
        <v>63</v>
      </c>
    </row>
    <row r="122" spans="1:2" x14ac:dyDescent="0.3">
      <c r="A122" s="5" t="s">
        <v>57</v>
      </c>
      <c r="B122" s="5" t="s">
        <v>64</v>
      </c>
    </row>
    <row r="123" spans="1:2" x14ac:dyDescent="0.3">
      <c r="A123" s="5" t="s">
        <v>58</v>
      </c>
      <c r="B123" s="5" t="s">
        <v>65</v>
      </c>
    </row>
    <row r="124" spans="1:2" x14ac:dyDescent="0.3">
      <c r="A124" s="5" t="s">
        <v>49</v>
      </c>
      <c r="B124" s="5" t="s">
        <v>66</v>
      </c>
    </row>
    <row r="125" spans="1:2" x14ac:dyDescent="0.3">
      <c r="A125" s="5" t="s">
        <v>113</v>
      </c>
      <c r="B125" s="5" t="s">
        <v>67</v>
      </c>
    </row>
    <row r="126" spans="1:2" x14ac:dyDescent="0.3">
      <c r="A126" s="5" t="s">
        <v>117</v>
      </c>
      <c r="B126" s="5" t="s">
        <v>65</v>
      </c>
    </row>
    <row r="127" spans="1:2" x14ac:dyDescent="0.3">
      <c r="A127" s="5" t="s">
        <v>122</v>
      </c>
      <c r="B127" s="5" t="s">
        <v>68</v>
      </c>
    </row>
    <row r="128" spans="1:2" x14ac:dyDescent="0.3">
      <c r="A128" s="5" t="s">
        <v>127</v>
      </c>
      <c r="B128" s="5" t="s">
        <v>68</v>
      </c>
    </row>
    <row r="129" spans="1:2" x14ac:dyDescent="0.3">
      <c r="A129" s="5" t="s">
        <v>131</v>
      </c>
      <c r="B129" s="5" t="s">
        <v>67</v>
      </c>
    </row>
    <row r="130" spans="1:2" x14ac:dyDescent="0.3">
      <c r="A130" s="5" t="s">
        <v>133</v>
      </c>
      <c r="B130" s="5" t="s">
        <v>69</v>
      </c>
    </row>
    <row r="131" spans="1:2" x14ac:dyDescent="0.3">
      <c r="A131" s="5" t="s">
        <v>135</v>
      </c>
      <c r="B131" s="5" t="s">
        <v>70</v>
      </c>
    </row>
    <row r="132" spans="1:2" x14ac:dyDescent="0.3">
      <c r="A132" s="5" t="s">
        <v>139</v>
      </c>
      <c r="B132" s="5" t="s">
        <v>71</v>
      </c>
    </row>
    <row r="133" spans="1:2" x14ac:dyDescent="0.3">
      <c r="A133" s="5" t="s">
        <v>142</v>
      </c>
      <c r="B133" s="5" t="s">
        <v>72</v>
      </c>
    </row>
    <row r="134" spans="1:2" x14ac:dyDescent="0.3">
      <c r="A134" s="5" t="s">
        <v>146</v>
      </c>
      <c r="B134" s="5" t="s">
        <v>73</v>
      </c>
    </row>
    <row r="135" spans="1:2" x14ac:dyDescent="0.3">
      <c r="A135" s="5" t="s">
        <v>148</v>
      </c>
      <c r="B135" s="5" t="s">
        <v>74</v>
      </c>
    </row>
    <row r="136" spans="1:2" x14ac:dyDescent="0.3">
      <c r="A136" s="5" t="s">
        <v>151</v>
      </c>
      <c r="B136" s="5" t="s">
        <v>75</v>
      </c>
    </row>
    <row r="137" spans="1:2" x14ac:dyDescent="0.3">
      <c r="A137" s="5" t="s">
        <v>156</v>
      </c>
      <c r="B137" s="5" t="s">
        <v>76</v>
      </c>
    </row>
    <row r="138" spans="1:2" x14ac:dyDescent="0.3">
      <c r="A138" s="5" t="s">
        <v>160</v>
      </c>
      <c r="B138" s="5" t="s">
        <v>77</v>
      </c>
    </row>
    <row r="139" spans="1:2" x14ac:dyDescent="0.3">
      <c r="A139" s="5" t="s">
        <v>163</v>
      </c>
      <c r="B139" s="5" t="s">
        <v>78</v>
      </c>
    </row>
    <row r="140" spans="1:2" x14ac:dyDescent="0.3">
      <c r="A140" s="5" t="s">
        <v>164</v>
      </c>
      <c r="B140" s="5" t="s">
        <v>79</v>
      </c>
    </row>
    <row r="141" spans="1:2" x14ac:dyDescent="0.3">
      <c r="A141" s="5" t="s">
        <v>165</v>
      </c>
      <c r="B141" s="5" t="s">
        <v>80</v>
      </c>
    </row>
    <row r="142" spans="1:2" x14ac:dyDescent="0.3">
      <c r="A142" s="5" t="s">
        <v>168</v>
      </c>
      <c r="B142" s="5" t="s">
        <v>120</v>
      </c>
    </row>
    <row r="143" spans="1:2" x14ac:dyDescent="0.3">
      <c r="A143" s="5" t="s">
        <v>169</v>
      </c>
      <c r="B143" s="5" t="s">
        <v>271</v>
      </c>
    </row>
    <row r="144" spans="1:2" x14ac:dyDescent="0.3">
      <c r="A144" s="5" t="s">
        <v>172</v>
      </c>
      <c r="B144" s="5" t="s">
        <v>272</v>
      </c>
    </row>
    <row r="145" spans="1:2" x14ac:dyDescent="0.3">
      <c r="A145" s="5" t="s">
        <v>174</v>
      </c>
      <c r="B145" s="5" t="s">
        <v>273</v>
      </c>
    </row>
    <row r="146" spans="1:2" x14ac:dyDescent="0.3">
      <c r="A146" s="5" t="s">
        <v>176</v>
      </c>
      <c r="B146" s="5" t="s">
        <v>274</v>
      </c>
    </row>
    <row r="147" spans="1:2" x14ac:dyDescent="0.3">
      <c r="A147" s="5" t="s">
        <v>178</v>
      </c>
      <c r="B147" s="5" t="s">
        <v>153</v>
      </c>
    </row>
    <row r="148" spans="1:2" x14ac:dyDescent="0.3">
      <c r="A148" s="5" t="s">
        <v>179</v>
      </c>
      <c r="B148" s="5" t="s">
        <v>112</v>
      </c>
    </row>
    <row r="149" spans="1:2" x14ac:dyDescent="0.3">
      <c r="A149" s="5" t="s">
        <v>180</v>
      </c>
      <c r="B149" s="5" t="s">
        <v>116</v>
      </c>
    </row>
    <row r="150" spans="1:2" x14ac:dyDescent="0.3">
      <c r="A150" s="5" t="s">
        <v>181</v>
      </c>
      <c r="B150" s="5" t="s">
        <v>121</v>
      </c>
    </row>
    <row r="151" spans="1:2" x14ac:dyDescent="0.3">
      <c r="A151" s="5" t="s">
        <v>182</v>
      </c>
      <c r="B151" s="5" t="s">
        <v>275</v>
      </c>
    </row>
    <row r="152" spans="1:2" x14ac:dyDescent="0.3">
      <c r="A152" s="5" t="s">
        <v>184</v>
      </c>
      <c r="B152" s="5" t="s">
        <v>130</v>
      </c>
    </row>
    <row r="153" spans="1:2" x14ac:dyDescent="0.3">
      <c r="A153" s="5" t="s">
        <v>185</v>
      </c>
      <c r="B153" s="5" t="s">
        <v>276</v>
      </c>
    </row>
    <row r="154" spans="1:2" x14ac:dyDescent="0.3">
      <c r="A154" s="5" t="s">
        <v>186</v>
      </c>
      <c r="B154" s="5" t="s">
        <v>277</v>
      </c>
    </row>
    <row r="155" spans="1:2" x14ac:dyDescent="0.3">
      <c r="A155" s="5" t="s">
        <v>189</v>
      </c>
      <c r="B155" s="5" t="s">
        <v>278</v>
      </c>
    </row>
    <row r="156" spans="1:2" x14ac:dyDescent="0.3">
      <c r="A156" s="5" t="s">
        <v>192</v>
      </c>
      <c r="B156" s="5" t="s">
        <v>225</v>
      </c>
    </row>
    <row r="157" spans="1:2" x14ac:dyDescent="0.3">
      <c r="A157" s="5" t="s">
        <v>194</v>
      </c>
      <c r="B157" s="5" t="s">
        <v>145</v>
      </c>
    </row>
    <row r="158" spans="1:2" x14ac:dyDescent="0.3">
      <c r="A158" s="5" t="s">
        <v>197</v>
      </c>
      <c r="B158" s="5" t="s">
        <v>279</v>
      </c>
    </row>
    <row r="159" spans="1:2" x14ac:dyDescent="0.3">
      <c r="A159" s="5" t="s">
        <v>200</v>
      </c>
      <c r="B159" s="5" t="s">
        <v>150</v>
      </c>
    </row>
    <row r="160" spans="1:2" x14ac:dyDescent="0.3">
      <c r="A160" s="5" t="s">
        <v>203</v>
      </c>
      <c r="B160" s="5" t="s">
        <v>155</v>
      </c>
    </row>
    <row r="161" spans="1:2" x14ac:dyDescent="0.3">
      <c r="A161" s="5" t="s">
        <v>205</v>
      </c>
      <c r="B161" s="5" t="s">
        <v>159</v>
      </c>
    </row>
    <row r="162" spans="1:2" x14ac:dyDescent="0.3">
      <c r="A162" s="5" t="s">
        <v>207</v>
      </c>
      <c r="B162" s="5" t="s">
        <v>280</v>
      </c>
    </row>
    <row r="163" spans="1:2" x14ac:dyDescent="0.3">
      <c r="A163" s="5" t="s">
        <v>209</v>
      </c>
      <c r="B163" s="5" t="s">
        <v>281</v>
      </c>
    </row>
    <row r="164" spans="1:2" x14ac:dyDescent="0.3">
      <c r="A164" s="5" t="s">
        <v>211</v>
      </c>
      <c r="B164" s="5" t="s">
        <v>282</v>
      </c>
    </row>
    <row r="165" spans="1:2" x14ac:dyDescent="0.3">
      <c r="A165" s="5" t="s">
        <v>213</v>
      </c>
      <c r="B165" s="5" t="s">
        <v>167</v>
      </c>
    </row>
    <row r="166" spans="1:2" x14ac:dyDescent="0.3">
      <c r="A166" s="5" t="s">
        <v>216</v>
      </c>
      <c r="B166" s="5" t="s">
        <v>283</v>
      </c>
    </row>
    <row r="167" spans="1:2" x14ac:dyDescent="0.3">
      <c r="A167" s="5" t="s">
        <v>219</v>
      </c>
      <c r="B167" s="5" t="s">
        <v>284</v>
      </c>
    </row>
    <row r="168" spans="1:2" x14ac:dyDescent="0.3">
      <c r="A168" s="5" t="s">
        <v>222</v>
      </c>
      <c r="B168" s="5" t="s">
        <v>285</v>
      </c>
    </row>
    <row r="169" spans="1:2" x14ac:dyDescent="0.3">
      <c r="A169" s="5" t="s">
        <v>224</v>
      </c>
      <c r="B169" s="5" t="s">
        <v>286</v>
      </c>
    </row>
    <row r="170" spans="1:2" x14ac:dyDescent="0.3">
      <c r="A170" s="5" t="s">
        <v>227</v>
      </c>
      <c r="B170" s="5" t="s">
        <v>287</v>
      </c>
    </row>
    <row r="171" spans="1:2" x14ac:dyDescent="0.3">
      <c r="A171" s="5" t="s">
        <v>229</v>
      </c>
      <c r="B171" s="5" t="s">
        <v>288</v>
      </c>
    </row>
    <row r="172" spans="1:2" x14ac:dyDescent="0.3">
      <c r="A172" s="5" t="s">
        <v>231</v>
      </c>
      <c r="B172" s="5" t="s">
        <v>289</v>
      </c>
    </row>
    <row r="173" spans="1:2" x14ac:dyDescent="0.3">
      <c r="A173" s="5" t="s">
        <v>233</v>
      </c>
      <c r="B173" s="5" t="s">
        <v>290</v>
      </c>
    </row>
    <row r="174" spans="1:2" x14ac:dyDescent="0.3">
      <c r="A174" s="5" t="s">
        <v>235</v>
      </c>
      <c r="B174" s="5" t="s">
        <v>291</v>
      </c>
    </row>
    <row r="175" spans="1:2" x14ac:dyDescent="0.3">
      <c r="A175" s="5" t="s">
        <v>237</v>
      </c>
      <c r="B175" s="5" t="s">
        <v>292</v>
      </c>
    </row>
    <row r="176" spans="1:2" x14ac:dyDescent="0.3">
      <c r="A176" s="5" t="s">
        <v>239</v>
      </c>
      <c r="B176" s="5" t="s">
        <v>293</v>
      </c>
    </row>
    <row r="177" spans="1:2" x14ac:dyDescent="0.3">
      <c r="A177" s="5" t="s">
        <v>241</v>
      </c>
      <c r="B177" s="5" t="s">
        <v>294</v>
      </c>
    </row>
    <row r="178" spans="1:2" x14ac:dyDescent="0.3">
      <c r="A178" s="5" t="s">
        <v>243</v>
      </c>
      <c r="B178" s="5" t="s">
        <v>188</v>
      </c>
    </row>
    <row r="179" spans="1:2" x14ac:dyDescent="0.3">
      <c r="A179" s="5" t="s">
        <v>245</v>
      </c>
      <c r="B179" s="5" t="s">
        <v>191</v>
      </c>
    </row>
    <row r="180" spans="1:2" x14ac:dyDescent="0.3">
      <c r="A180" s="5" t="s">
        <v>247</v>
      </c>
      <c r="B180" s="5" t="s">
        <v>193</v>
      </c>
    </row>
    <row r="181" spans="1:2" x14ac:dyDescent="0.3">
      <c r="A181" s="5" t="s">
        <v>249</v>
      </c>
      <c r="B181" s="5" t="s">
        <v>196</v>
      </c>
    </row>
    <row r="182" spans="1:2" x14ac:dyDescent="0.3">
      <c r="A182" s="5" t="s">
        <v>251</v>
      </c>
      <c r="B182" s="5" t="s">
        <v>199</v>
      </c>
    </row>
    <row r="183" spans="1:2" x14ac:dyDescent="0.3">
      <c r="A183" s="5" t="s">
        <v>253</v>
      </c>
      <c r="B183" s="5" t="s">
        <v>202</v>
      </c>
    </row>
    <row r="184" spans="1:2" x14ac:dyDescent="0.3">
      <c r="A184" s="5" t="s">
        <v>255</v>
      </c>
      <c r="B184" s="5" t="s">
        <v>204</v>
      </c>
    </row>
    <row r="185" spans="1:2" x14ac:dyDescent="0.3">
      <c r="A185" s="5" t="s">
        <v>257</v>
      </c>
      <c r="B185" s="5" t="s">
        <v>206</v>
      </c>
    </row>
    <row r="186" spans="1:2" x14ac:dyDescent="0.3">
      <c r="A186" s="5" t="s">
        <v>259</v>
      </c>
      <c r="B186" s="5" t="s">
        <v>208</v>
      </c>
    </row>
    <row r="187" spans="1:2" x14ac:dyDescent="0.3">
      <c r="A187" s="5" t="s">
        <v>261</v>
      </c>
      <c r="B187" s="5" t="s">
        <v>210</v>
      </c>
    </row>
    <row r="188" spans="1:2" x14ac:dyDescent="0.3">
      <c r="A188" s="5" t="s">
        <v>263</v>
      </c>
      <c r="B188" s="5" t="s">
        <v>212</v>
      </c>
    </row>
    <row r="189" spans="1:2" x14ac:dyDescent="0.3">
      <c r="A189" s="5" t="s">
        <v>264</v>
      </c>
      <c r="B189" s="5" t="s">
        <v>215</v>
      </c>
    </row>
    <row r="190" spans="1:2" x14ac:dyDescent="0.3">
      <c r="A190" s="5" t="s">
        <v>265</v>
      </c>
      <c r="B190" s="5" t="s">
        <v>218</v>
      </c>
    </row>
    <row r="191" spans="1:2" x14ac:dyDescent="0.3">
      <c r="A191" s="5" t="s">
        <v>266</v>
      </c>
      <c r="B191" s="5" t="s">
        <v>221</v>
      </c>
    </row>
    <row r="192" spans="1:2" x14ac:dyDescent="0.3">
      <c r="A192" s="5" t="s">
        <v>267</v>
      </c>
      <c r="B192" s="5" t="s">
        <v>223</v>
      </c>
    </row>
    <row r="193" spans="1:2" x14ac:dyDescent="0.3">
      <c r="A193" s="5" t="s">
        <v>268</v>
      </c>
      <c r="B193" s="5" t="s">
        <v>226</v>
      </c>
    </row>
    <row r="194" spans="1:2" x14ac:dyDescent="0.3">
      <c r="A194" s="5" t="s">
        <v>48</v>
      </c>
      <c r="B194" s="5" t="s">
        <v>228</v>
      </c>
    </row>
    <row r="195" spans="1:2" x14ac:dyDescent="0.3">
      <c r="A195" s="5" t="s">
        <v>295</v>
      </c>
      <c r="B195" s="5" t="s">
        <v>230</v>
      </c>
    </row>
    <row r="196" spans="1:2" x14ac:dyDescent="0.3">
      <c r="A196" s="5" t="s">
        <v>296</v>
      </c>
      <c r="B196" s="5" t="s">
        <v>232</v>
      </c>
    </row>
    <row r="197" spans="1:2" x14ac:dyDescent="0.3">
      <c r="A197" s="5" t="s">
        <v>297</v>
      </c>
      <c r="B197" s="5" t="s">
        <v>234</v>
      </c>
    </row>
    <row r="198" spans="1:2" x14ac:dyDescent="0.3">
      <c r="A198" s="5" t="s">
        <v>298</v>
      </c>
      <c r="B198" s="5" t="s">
        <v>236</v>
      </c>
    </row>
    <row r="199" spans="1:2" x14ac:dyDescent="0.3">
      <c r="A199" s="5" t="s">
        <v>299</v>
      </c>
      <c r="B199" s="5" t="s">
        <v>238</v>
      </c>
    </row>
    <row r="200" spans="1:2" x14ac:dyDescent="0.3">
      <c r="A200" s="5" t="s">
        <v>300</v>
      </c>
      <c r="B200" s="5" t="s">
        <v>240</v>
      </c>
    </row>
    <row r="201" spans="1:2" x14ac:dyDescent="0.3">
      <c r="A201" s="5" t="s">
        <v>301</v>
      </c>
      <c r="B201" s="5" t="s">
        <v>242</v>
      </c>
    </row>
    <row r="202" spans="1:2" x14ac:dyDescent="0.3">
      <c r="A202" s="5" t="s">
        <v>302</v>
      </c>
      <c r="B202" s="5" t="s">
        <v>244</v>
      </c>
    </row>
    <row r="203" spans="1:2" x14ac:dyDescent="0.3">
      <c r="A203" s="5" t="s">
        <v>303</v>
      </c>
      <c r="B203" s="5" t="s">
        <v>246</v>
      </c>
    </row>
    <row r="204" spans="1:2" x14ac:dyDescent="0.3">
      <c r="A204" s="5" t="s">
        <v>304</v>
      </c>
      <c r="B204" s="5" t="s">
        <v>248</v>
      </c>
    </row>
    <row r="205" spans="1:2" x14ac:dyDescent="0.3">
      <c r="A205" s="5" t="s">
        <v>305</v>
      </c>
      <c r="B205" s="5" t="s">
        <v>250</v>
      </c>
    </row>
    <row r="206" spans="1:2" x14ac:dyDescent="0.3">
      <c r="A206" s="5" t="s">
        <v>306</v>
      </c>
      <c r="B206" s="5" t="s">
        <v>252</v>
      </c>
    </row>
    <row r="207" spans="1:2" x14ac:dyDescent="0.3">
      <c r="A207" s="5" t="s">
        <v>307</v>
      </c>
      <c r="B207" s="5" t="s">
        <v>254</v>
      </c>
    </row>
    <row r="208" spans="1:2" x14ac:dyDescent="0.3">
      <c r="A208" s="5" t="s">
        <v>308</v>
      </c>
      <c r="B208" s="5" t="s">
        <v>256</v>
      </c>
    </row>
    <row r="209" spans="1:2" x14ac:dyDescent="0.3">
      <c r="A209" s="5" t="s">
        <v>309</v>
      </c>
      <c r="B209" s="5" t="s">
        <v>258</v>
      </c>
    </row>
    <row r="210" spans="1:2" x14ac:dyDescent="0.3">
      <c r="A210" s="5" t="s">
        <v>310</v>
      </c>
      <c r="B210" s="5" t="s">
        <v>260</v>
      </c>
    </row>
    <row r="211" spans="1:2" x14ac:dyDescent="0.3">
      <c r="A211" s="5" t="s">
        <v>311</v>
      </c>
      <c r="B211" s="5" t="s">
        <v>262</v>
      </c>
    </row>
    <row r="212" spans="1:2" x14ac:dyDescent="0.3">
      <c r="A212" s="5" t="s">
        <v>312</v>
      </c>
      <c r="B212" s="5" t="s">
        <v>262</v>
      </c>
    </row>
    <row r="213" spans="1:2" x14ac:dyDescent="0.3">
      <c r="A213" s="5" t="s">
        <v>313</v>
      </c>
      <c r="B213" s="5" t="s">
        <v>262</v>
      </c>
    </row>
    <row r="214" spans="1:2" x14ac:dyDescent="0.3">
      <c r="A214" s="5" t="s">
        <v>314</v>
      </c>
      <c r="B214" s="5" t="s">
        <v>262</v>
      </c>
    </row>
    <row r="215" spans="1:2" x14ac:dyDescent="0.3">
      <c r="A215" s="5" t="s">
        <v>315</v>
      </c>
      <c r="B215" s="5" t="s">
        <v>262</v>
      </c>
    </row>
    <row r="216" spans="1:2" x14ac:dyDescent="0.3">
      <c r="A216" s="5" t="s">
        <v>316</v>
      </c>
      <c r="B216" s="5" t="s">
        <v>262</v>
      </c>
    </row>
    <row r="217" spans="1:2" x14ac:dyDescent="0.3">
      <c r="A217" s="5" t="s">
        <v>317</v>
      </c>
      <c r="B217" s="5" t="s">
        <v>262</v>
      </c>
    </row>
    <row r="218" spans="1:2" x14ac:dyDescent="0.3">
      <c r="A218" s="5" t="s">
        <v>318</v>
      </c>
      <c r="B218" s="5" t="s">
        <v>262</v>
      </c>
    </row>
    <row r="219" spans="1:2" x14ac:dyDescent="0.3">
      <c r="A219" s="5" t="s">
        <v>270</v>
      </c>
      <c r="B219" s="5" t="s">
        <v>262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917DF-54B5-4F23-86FE-29D2B4B617C6}">
  <sheetPr codeName="Sheet6"/>
  <dimension ref="A1:Z219"/>
  <sheetViews>
    <sheetView topLeftCell="A19" workbookViewId="0">
      <selection activeCell="G49" sqref="G49"/>
    </sheetView>
  </sheetViews>
  <sheetFormatPr defaultColWidth="9.109375" defaultRowHeight="14.4" x14ac:dyDescent="0.3"/>
  <cols>
    <col min="1" max="16384" width="9.109375" style="6"/>
  </cols>
  <sheetData>
    <row r="1" spans="1:2" x14ac:dyDescent="0.3">
      <c r="A1" s="5" t="s">
        <v>12</v>
      </c>
      <c r="B1" s="5" t="s">
        <v>320</v>
      </c>
    </row>
    <row r="2" spans="1:2" x14ac:dyDescent="0.3">
      <c r="A2" s="5" t="s">
        <v>14</v>
      </c>
      <c r="B2" s="5" t="s">
        <v>321</v>
      </c>
    </row>
    <row r="3" spans="1:2" x14ac:dyDescent="0.3">
      <c r="A3" s="5" t="s">
        <v>16</v>
      </c>
      <c r="B3" s="5" t="s">
        <v>17</v>
      </c>
    </row>
    <row r="4" spans="1:2" x14ac:dyDescent="0.3">
      <c r="A4" s="5" t="s">
        <v>18</v>
      </c>
      <c r="B4" s="5" t="s">
        <v>19</v>
      </c>
    </row>
    <row r="5" spans="1:2" x14ac:dyDescent="0.3">
      <c r="A5" s="5" t="s">
        <v>20</v>
      </c>
      <c r="B5" s="5" t="s">
        <v>21</v>
      </c>
    </row>
    <row r="6" spans="1:2" x14ac:dyDescent="0.3">
      <c r="A6" s="5" t="s">
        <v>22</v>
      </c>
      <c r="B6" s="5" t="s">
        <v>23</v>
      </c>
    </row>
    <row r="7" spans="1:2" x14ac:dyDescent="0.3">
      <c r="A7" s="5" t="s">
        <v>24</v>
      </c>
      <c r="B7" s="5" t="s">
        <v>322</v>
      </c>
    </row>
    <row r="8" spans="1:2" x14ac:dyDescent="0.3">
      <c r="A8" s="5" t="s">
        <v>26</v>
      </c>
      <c r="B8" s="5" t="s">
        <v>27</v>
      </c>
    </row>
    <row r="9" spans="1:2" x14ac:dyDescent="0.3">
      <c r="A9" s="5" t="s">
        <v>28</v>
      </c>
      <c r="B9" s="5" t="s">
        <v>29</v>
      </c>
    </row>
    <row r="10" spans="1:2" x14ac:dyDescent="0.3">
      <c r="A10" s="5" t="s">
        <v>30</v>
      </c>
      <c r="B10" s="5" t="s">
        <v>31</v>
      </c>
    </row>
    <row r="12" spans="1:2" x14ac:dyDescent="0.3">
      <c r="A12" s="5" t="s">
        <v>32</v>
      </c>
      <c r="B12" s="5">
        <v>1</v>
      </c>
    </row>
    <row r="13" spans="1:2" x14ac:dyDescent="0.3">
      <c r="A13" s="5" t="s">
        <v>24</v>
      </c>
      <c r="B13" s="5" t="s">
        <v>404</v>
      </c>
    </row>
    <row r="14" spans="1:2" x14ac:dyDescent="0.3">
      <c r="A14" s="5" t="s">
        <v>34</v>
      </c>
      <c r="B14" s="5" t="s">
        <v>35</v>
      </c>
    </row>
    <row r="15" spans="1:2" x14ac:dyDescent="0.3">
      <c r="A15" s="5" t="s">
        <v>36</v>
      </c>
      <c r="B15" s="5">
        <v>0</v>
      </c>
    </row>
    <row r="16" spans="1:2" x14ac:dyDescent="0.3">
      <c r="A16" s="5" t="s">
        <v>38</v>
      </c>
      <c r="B16" s="5" t="s">
        <v>39</v>
      </c>
    </row>
    <row r="17" spans="1:26" x14ac:dyDescent="0.3">
      <c r="A17" s="5" t="s">
        <v>40</v>
      </c>
      <c r="B17" s="5" t="s">
        <v>4</v>
      </c>
      <c r="C17" s="5" t="s">
        <v>41</v>
      </c>
      <c r="D17" s="5"/>
      <c r="E17" s="5"/>
      <c r="F17" s="5"/>
      <c r="G17" s="5"/>
      <c r="H17" s="5"/>
      <c r="I17" s="5"/>
      <c r="J17" s="5"/>
      <c r="K17" s="5"/>
      <c r="L17" s="5"/>
      <c r="M17" s="5"/>
      <c r="N17" s="5"/>
      <c r="O17" s="5"/>
      <c r="P17" s="5"/>
      <c r="Q17" s="5"/>
      <c r="R17" s="5"/>
      <c r="S17" s="5"/>
      <c r="T17" s="5"/>
      <c r="U17" s="5"/>
      <c r="V17" s="5"/>
      <c r="W17" s="5"/>
      <c r="X17" s="5"/>
      <c r="Y17" s="5"/>
      <c r="Z17" s="5"/>
    </row>
    <row r="18" spans="1:26" x14ac:dyDescent="0.3">
      <c r="A18" s="5" t="s">
        <v>42</v>
      </c>
      <c r="B18" s="5" t="s">
        <v>4</v>
      </c>
      <c r="C18" s="5" t="s">
        <v>43</v>
      </c>
      <c r="D18" s="5"/>
      <c r="E18" s="5"/>
      <c r="F18" s="5"/>
      <c r="G18" s="5"/>
      <c r="H18" s="5"/>
      <c r="I18" s="5"/>
      <c r="J18" s="5"/>
      <c r="K18" s="5"/>
      <c r="L18" s="5"/>
      <c r="M18" s="5"/>
      <c r="N18" s="5"/>
      <c r="O18" s="5"/>
      <c r="P18" s="5"/>
      <c r="Q18" s="5"/>
      <c r="R18" s="5"/>
      <c r="S18" s="5"/>
      <c r="T18" s="5"/>
      <c r="U18" s="5"/>
      <c r="V18" s="5"/>
      <c r="W18" s="5"/>
      <c r="X18" s="5"/>
      <c r="Y18" s="5"/>
      <c r="Z18" s="5"/>
    </row>
    <row r="19" spans="1:26" x14ac:dyDescent="0.3">
      <c r="A19" s="5" t="s">
        <v>44</v>
      </c>
      <c r="B19" s="5" t="s">
        <v>4</v>
      </c>
      <c r="C19" s="5" t="s">
        <v>41</v>
      </c>
      <c r="D19" s="5"/>
      <c r="E19" s="5"/>
      <c r="F19" s="5"/>
      <c r="G19" s="5"/>
      <c r="H19" s="5"/>
      <c r="I19" s="5"/>
      <c r="J19" s="5"/>
      <c r="K19" s="5"/>
      <c r="L19" s="5"/>
      <c r="M19" s="5"/>
      <c r="N19" s="5"/>
      <c r="O19" s="5"/>
      <c r="P19" s="5"/>
      <c r="Q19" s="5"/>
      <c r="R19" s="5"/>
      <c r="S19" s="5"/>
      <c r="T19" s="5"/>
      <c r="U19" s="5"/>
      <c r="V19" s="5"/>
      <c r="W19" s="5"/>
      <c r="X19" s="5"/>
      <c r="Y19" s="5"/>
      <c r="Z19" s="5"/>
    </row>
    <row r="20" spans="1:26" x14ac:dyDescent="0.3">
      <c r="A20" s="5" t="s">
        <v>45</v>
      </c>
      <c r="B20" s="5">
        <v>18</v>
      </c>
      <c r="C20" s="5">
        <v>1</v>
      </c>
      <c r="D20" s="5"/>
      <c r="E20" s="5"/>
      <c r="F20" s="5"/>
      <c r="G20" s="5"/>
      <c r="H20" s="5"/>
      <c r="I20" s="5"/>
      <c r="J20" s="5"/>
      <c r="K20" s="5"/>
      <c r="L20" s="5"/>
      <c r="M20" s="5"/>
      <c r="N20" s="5"/>
      <c r="O20" s="5"/>
      <c r="P20" s="5"/>
      <c r="Q20" s="5"/>
      <c r="R20" s="5"/>
      <c r="S20" s="5"/>
      <c r="T20" s="5"/>
      <c r="U20" s="5"/>
      <c r="V20" s="5"/>
      <c r="W20" s="5"/>
      <c r="X20" s="5"/>
      <c r="Y20" s="5"/>
      <c r="Z20" s="5"/>
    </row>
    <row r="21" spans="1:26" x14ac:dyDescent="0.3">
      <c r="A21" s="5" t="s">
        <v>47</v>
      </c>
      <c r="B21" s="5">
        <v>95</v>
      </c>
      <c r="C21" s="5">
        <v>25</v>
      </c>
      <c r="D21" s="5"/>
      <c r="E21" s="5"/>
      <c r="F21" s="5"/>
      <c r="G21" s="5"/>
      <c r="H21" s="5"/>
      <c r="I21" s="5"/>
      <c r="J21" s="5"/>
      <c r="K21" s="5"/>
      <c r="L21" s="5"/>
      <c r="M21" s="5"/>
      <c r="N21" s="5"/>
      <c r="O21" s="5"/>
      <c r="P21" s="5"/>
      <c r="Q21" s="5"/>
      <c r="R21" s="5"/>
      <c r="S21" s="5"/>
      <c r="T21" s="5"/>
      <c r="U21" s="5"/>
      <c r="V21" s="5"/>
      <c r="W21" s="5"/>
      <c r="X21" s="5"/>
      <c r="Y21" s="5"/>
      <c r="Z21" s="5"/>
    </row>
    <row r="22" spans="1:26" x14ac:dyDescent="0.3">
      <c r="A22" s="5" t="s">
        <v>50</v>
      </c>
      <c r="B22" s="5">
        <v>1</v>
      </c>
      <c r="C22" s="5">
        <v>1</v>
      </c>
      <c r="D22" s="5"/>
      <c r="E22" s="5"/>
      <c r="F22" s="5"/>
      <c r="G22" s="5"/>
      <c r="H22" s="5"/>
      <c r="I22" s="5"/>
      <c r="J22" s="5"/>
      <c r="K22" s="5"/>
      <c r="L22" s="5"/>
      <c r="M22" s="5"/>
      <c r="N22" s="5"/>
      <c r="O22" s="5"/>
      <c r="P22" s="5"/>
      <c r="Q22" s="5"/>
      <c r="R22" s="5"/>
      <c r="S22" s="5"/>
      <c r="T22" s="5"/>
      <c r="U22" s="5"/>
      <c r="V22" s="5"/>
      <c r="W22" s="5"/>
      <c r="X22" s="5"/>
      <c r="Y22" s="5"/>
      <c r="Z22" s="5"/>
    </row>
    <row r="24" spans="1:26" x14ac:dyDescent="0.3">
      <c r="A24" s="5" t="s">
        <v>51</v>
      </c>
      <c r="B24" s="5">
        <v>1</v>
      </c>
      <c r="C24" s="5">
        <v>2</v>
      </c>
      <c r="D24" s="5">
        <v>3</v>
      </c>
      <c r="E24" s="5">
        <v>4</v>
      </c>
      <c r="F24" s="5">
        <v>5</v>
      </c>
      <c r="G24" s="5">
        <v>6</v>
      </c>
      <c r="H24" s="5">
        <v>7</v>
      </c>
      <c r="I24" s="5">
        <v>8</v>
      </c>
      <c r="J24" s="5">
        <v>9</v>
      </c>
      <c r="K24" s="5">
        <v>10</v>
      </c>
      <c r="L24" s="5">
        <v>11</v>
      </c>
      <c r="M24" s="5">
        <v>12</v>
      </c>
      <c r="N24" s="5">
        <v>13</v>
      </c>
      <c r="O24" s="5">
        <v>14</v>
      </c>
      <c r="P24" s="5">
        <v>15</v>
      </c>
      <c r="Q24" s="5">
        <v>16</v>
      </c>
      <c r="R24" s="5">
        <v>17</v>
      </c>
      <c r="S24" s="5">
        <v>18</v>
      </c>
      <c r="T24" s="5">
        <v>19</v>
      </c>
      <c r="U24" s="5">
        <v>20</v>
      </c>
      <c r="V24" s="5">
        <v>21</v>
      </c>
      <c r="W24" s="5">
        <v>22</v>
      </c>
      <c r="X24" s="5">
        <v>23</v>
      </c>
      <c r="Y24" s="5">
        <v>24</v>
      </c>
      <c r="Z24" s="5">
        <v>25</v>
      </c>
    </row>
    <row r="25" spans="1:26" x14ac:dyDescent="0.3">
      <c r="A25" s="5">
        <v>18</v>
      </c>
      <c r="B25" s="5">
        <v>2.7E-4</v>
      </c>
      <c r="C25" s="5">
        <v>2.7E-4</v>
      </c>
      <c r="D25" s="5">
        <v>2.5999999999999998E-4</v>
      </c>
      <c r="E25" s="5">
        <v>2.7E-4</v>
      </c>
      <c r="F25" s="5">
        <v>2.7E-4</v>
      </c>
      <c r="G25" s="5">
        <v>2.9999999999999997E-4</v>
      </c>
      <c r="H25" s="5">
        <v>3.3E-4</v>
      </c>
      <c r="I25" s="5">
        <v>3.3E-4</v>
      </c>
      <c r="J25" s="5">
        <v>3.4000000000000002E-4</v>
      </c>
      <c r="K25" s="5">
        <v>3.4000000000000002E-4</v>
      </c>
      <c r="L25" s="5">
        <v>3.6000000000000002E-4</v>
      </c>
      <c r="M25" s="5">
        <v>3.8000000000000002E-4</v>
      </c>
      <c r="N25" s="5">
        <v>4.0999999999999999E-4</v>
      </c>
      <c r="O25" s="5">
        <v>4.4000000000000002E-4</v>
      </c>
      <c r="P25" s="5">
        <v>4.6999999999999999E-4</v>
      </c>
      <c r="Q25" s="5">
        <v>5.6999999999999998E-4</v>
      </c>
      <c r="R25" s="5">
        <v>6.8999999999999997E-4</v>
      </c>
      <c r="S25" s="5">
        <v>7.9000000000000001E-4</v>
      </c>
      <c r="T25" s="5">
        <v>9.3999999999999997E-4</v>
      </c>
      <c r="U25" s="5">
        <v>1.09E-3</v>
      </c>
      <c r="V25" s="5">
        <v>1.23E-3</v>
      </c>
      <c r="W25" s="5">
        <v>1.34E-3</v>
      </c>
      <c r="X25" s="5">
        <v>1.4400000000000001E-3</v>
      </c>
      <c r="Y25" s="5">
        <v>1.5299999999999999E-3</v>
      </c>
      <c r="Z25" s="5">
        <v>1.6199999999999999E-3</v>
      </c>
    </row>
    <row r="26" spans="1:26" x14ac:dyDescent="0.3">
      <c r="A26" s="5">
        <v>19</v>
      </c>
      <c r="B26" s="5">
        <v>2.5999999999999998E-4</v>
      </c>
      <c r="C26" s="5">
        <v>2.5000000000000001E-4</v>
      </c>
      <c r="D26" s="5">
        <v>2.5000000000000001E-4</v>
      </c>
      <c r="E26" s="5">
        <v>2.5000000000000001E-4</v>
      </c>
      <c r="F26" s="5">
        <v>2.7999999999999998E-4</v>
      </c>
      <c r="G26" s="5">
        <v>3.1E-4</v>
      </c>
      <c r="H26" s="5">
        <v>3.2000000000000003E-4</v>
      </c>
      <c r="I26" s="5">
        <v>3.3E-4</v>
      </c>
      <c r="J26" s="5">
        <v>3.4000000000000002E-4</v>
      </c>
      <c r="K26" s="5">
        <v>3.6000000000000002E-4</v>
      </c>
      <c r="L26" s="5">
        <v>3.8000000000000002E-4</v>
      </c>
      <c r="M26" s="5">
        <v>4.0999999999999999E-4</v>
      </c>
      <c r="N26" s="5">
        <v>4.4000000000000002E-4</v>
      </c>
      <c r="O26" s="5">
        <v>4.6999999999999999E-4</v>
      </c>
      <c r="P26" s="5">
        <v>5.6999999999999998E-4</v>
      </c>
      <c r="Q26" s="5">
        <v>6.8000000000000005E-4</v>
      </c>
      <c r="R26" s="5">
        <v>7.9000000000000001E-4</v>
      </c>
      <c r="S26" s="5">
        <v>9.3000000000000005E-4</v>
      </c>
      <c r="T26" s="5">
        <v>1.08E-3</v>
      </c>
      <c r="U26" s="5">
        <v>1.2199999999999999E-3</v>
      </c>
      <c r="V26" s="5">
        <v>1.34E-3</v>
      </c>
      <c r="W26" s="5">
        <v>1.4400000000000001E-3</v>
      </c>
      <c r="X26" s="5">
        <v>1.5299999999999999E-3</v>
      </c>
      <c r="Y26" s="5">
        <v>1.6199999999999999E-3</v>
      </c>
      <c r="Z26" s="5">
        <v>1.7099999999999999E-3</v>
      </c>
    </row>
    <row r="27" spans="1:26" x14ac:dyDescent="0.3">
      <c r="A27" s="5">
        <v>20</v>
      </c>
      <c r="B27" s="5">
        <v>2.1000000000000001E-4</v>
      </c>
      <c r="C27" s="5">
        <v>2.2000000000000001E-4</v>
      </c>
      <c r="D27" s="5">
        <v>2.3000000000000001E-4</v>
      </c>
      <c r="E27" s="5">
        <v>2.5000000000000001E-4</v>
      </c>
      <c r="F27" s="5">
        <v>2.9E-4</v>
      </c>
      <c r="G27" s="5">
        <v>3.1E-4</v>
      </c>
      <c r="H27" s="5">
        <v>3.1E-4</v>
      </c>
      <c r="I27" s="5">
        <v>3.3E-4</v>
      </c>
      <c r="J27" s="5">
        <v>3.6000000000000002E-4</v>
      </c>
      <c r="K27" s="5">
        <v>3.8000000000000002E-4</v>
      </c>
      <c r="L27" s="5">
        <v>4.0999999999999999E-4</v>
      </c>
      <c r="M27" s="5">
        <v>4.4000000000000002E-4</v>
      </c>
      <c r="N27" s="5">
        <v>4.6999999999999999E-4</v>
      </c>
      <c r="O27" s="5">
        <v>5.6999999999999998E-4</v>
      </c>
      <c r="P27" s="5">
        <v>6.8000000000000005E-4</v>
      </c>
      <c r="Q27" s="5">
        <v>7.9000000000000001E-4</v>
      </c>
      <c r="R27" s="5">
        <v>9.2000000000000003E-4</v>
      </c>
      <c r="S27" s="5">
        <v>1.06E-3</v>
      </c>
      <c r="T27" s="5">
        <v>1.1999999999999999E-3</v>
      </c>
      <c r="U27" s="5">
        <v>1.33E-3</v>
      </c>
      <c r="V27" s="5">
        <v>1.4400000000000001E-3</v>
      </c>
      <c r="W27" s="5">
        <v>1.5299999999999999E-3</v>
      </c>
      <c r="X27" s="5">
        <v>1.6199999999999999E-3</v>
      </c>
      <c r="Y27" s="5">
        <v>1.7099999999999999E-3</v>
      </c>
      <c r="Z27" s="5">
        <v>1.82E-3</v>
      </c>
    </row>
    <row r="28" spans="1:26" x14ac:dyDescent="0.3">
      <c r="A28" s="5">
        <v>21</v>
      </c>
      <c r="B28" s="5">
        <v>1.8000000000000001E-4</v>
      </c>
      <c r="C28" s="5">
        <v>2.0000000000000001E-4</v>
      </c>
      <c r="D28" s="5">
        <v>2.3000000000000001E-4</v>
      </c>
      <c r="E28" s="5">
        <v>2.7E-4</v>
      </c>
      <c r="F28" s="5">
        <v>2.9E-4</v>
      </c>
      <c r="G28" s="5">
        <v>2.9999999999999997E-4</v>
      </c>
      <c r="H28" s="5">
        <v>3.1E-4</v>
      </c>
      <c r="I28" s="5">
        <v>3.4000000000000002E-4</v>
      </c>
      <c r="J28" s="5">
        <v>3.8000000000000002E-4</v>
      </c>
      <c r="K28" s="5">
        <v>4.0000000000000002E-4</v>
      </c>
      <c r="L28" s="5">
        <v>4.4000000000000002E-4</v>
      </c>
      <c r="M28" s="5">
        <v>4.6999999999999999E-4</v>
      </c>
      <c r="N28" s="5">
        <v>5.6999999999999998E-4</v>
      </c>
      <c r="O28" s="5">
        <v>6.8000000000000005E-4</v>
      </c>
      <c r="P28" s="5">
        <v>7.7999999999999999E-4</v>
      </c>
      <c r="Q28" s="5">
        <v>9.2000000000000003E-4</v>
      </c>
      <c r="R28" s="5">
        <v>1.0499999999999999E-3</v>
      </c>
      <c r="S28" s="5">
        <v>1.1800000000000001E-3</v>
      </c>
      <c r="T28" s="5">
        <v>1.31E-3</v>
      </c>
      <c r="U28" s="5">
        <v>1.4300000000000001E-3</v>
      </c>
      <c r="V28" s="5">
        <v>1.5299999999999999E-3</v>
      </c>
      <c r="W28" s="5">
        <v>1.6199999999999999E-3</v>
      </c>
      <c r="X28" s="5">
        <v>1.7099999999999999E-3</v>
      </c>
      <c r="Y28" s="5">
        <v>1.82E-3</v>
      </c>
      <c r="Z28" s="5">
        <v>1.9599999999999999E-3</v>
      </c>
    </row>
    <row r="29" spans="1:26" x14ac:dyDescent="0.3">
      <c r="A29" s="5">
        <v>22</v>
      </c>
      <c r="B29" s="5">
        <v>1.8000000000000001E-4</v>
      </c>
      <c r="C29" s="5">
        <v>2.1000000000000001E-4</v>
      </c>
      <c r="D29" s="5">
        <v>2.4000000000000001E-4</v>
      </c>
      <c r="E29" s="5">
        <v>2.5999999999999998E-4</v>
      </c>
      <c r="F29" s="5">
        <v>2.7999999999999998E-4</v>
      </c>
      <c r="G29" s="5">
        <v>2.9999999999999997E-4</v>
      </c>
      <c r="H29" s="5">
        <v>3.3E-4</v>
      </c>
      <c r="I29" s="5">
        <v>3.6999999999999999E-4</v>
      </c>
      <c r="J29" s="5">
        <v>4.0000000000000002E-4</v>
      </c>
      <c r="K29" s="5">
        <v>4.2999999999999999E-4</v>
      </c>
      <c r="L29" s="5">
        <v>4.6999999999999999E-4</v>
      </c>
      <c r="M29" s="5">
        <v>5.6999999999999998E-4</v>
      </c>
      <c r="N29" s="5">
        <v>6.8000000000000005E-4</v>
      </c>
      <c r="O29" s="5">
        <v>7.7999999999999999E-4</v>
      </c>
      <c r="P29" s="5">
        <v>9.2000000000000003E-4</v>
      </c>
      <c r="Q29" s="5">
        <v>1.0399999999999999E-3</v>
      </c>
      <c r="R29" s="5">
        <v>1.17E-3</v>
      </c>
      <c r="S29" s="5">
        <v>1.2999999999999999E-3</v>
      </c>
      <c r="T29" s="5">
        <v>1.41E-3</v>
      </c>
      <c r="U29" s="5">
        <v>1.5200000000000001E-3</v>
      </c>
      <c r="V29" s="5">
        <v>1.6199999999999999E-3</v>
      </c>
      <c r="W29" s="5">
        <v>1.7099999999999999E-3</v>
      </c>
      <c r="X29" s="5">
        <v>1.82E-3</v>
      </c>
      <c r="Y29" s="5">
        <v>1.9599999999999999E-3</v>
      </c>
      <c r="Z29" s="5">
        <v>2.15E-3</v>
      </c>
    </row>
    <row r="30" spans="1:26" x14ac:dyDescent="0.3">
      <c r="A30" s="5">
        <v>23</v>
      </c>
      <c r="B30" s="5">
        <v>1.9000000000000001E-4</v>
      </c>
      <c r="C30" s="5">
        <v>2.1000000000000001E-4</v>
      </c>
      <c r="D30" s="5">
        <v>2.3000000000000001E-4</v>
      </c>
      <c r="E30" s="5">
        <v>2.5000000000000001E-4</v>
      </c>
      <c r="F30" s="5">
        <v>2.7999999999999998E-4</v>
      </c>
      <c r="G30" s="5">
        <v>3.1E-4</v>
      </c>
      <c r="H30" s="5">
        <v>3.5E-4</v>
      </c>
      <c r="I30" s="5">
        <v>4.0000000000000002E-4</v>
      </c>
      <c r="J30" s="5">
        <v>4.2999999999999999E-4</v>
      </c>
      <c r="K30" s="5">
        <v>4.6999999999999999E-4</v>
      </c>
      <c r="L30" s="5">
        <v>5.5000000000000003E-4</v>
      </c>
      <c r="M30" s="5">
        <v>6.8000000000000005E-4</v>
      </c>
      <c r="N30" s="5">
        <v>7.7999999999999999E-4</v>
      </c>
      <c r="O30" s="5">
        <v>9.1E-4</v>
      </c>
      <c r="P30" s="5">
        <v>1.0399999999999999E-3</v>
      </c>
      <c r="Q30" s="5">
        <v>1.16E-3</v>
      </c>
      <c r="R30" s="5">
        <v>1.2800000000000001E-3</v>
      </c>
      <c r="S30" s="5">
        <v>1.4E-3</v>
      </c>
      <c r="T30" s="5">
        <v>1.5E-3</v>
      </c>
      <c r="U30" s="5">
        <v>1.6100000000000001E-3</v>
      </c>
      <c r="V30" s="5">
        <v>1.7099999999999999E-3</v>
      </c>
      <c r="W30" s="5">
        <v>1.82E-3</v>
      </c>
      <c r="X30" s="5">
        <v>1.9599999999999999E-3</v>
      </c>
      <c r="Y30" s="5">
        <v>2.15E-3</v>
      </c>
      <c r="Z30" s="5">
        <v>2.3500000000000001E-3</v>
      </c>
    </row>
    <row r="31" spans="1:26" x14ac:dyDescent="0.3">
      <c r="A31" s="5">
        <v>24</v>
      </c>
      <c r="B31" s="5">
        <v>2.0000000000000001E-4</v>
      </c>
      <c r="C31" s="5">
        <v>2.1000000000000001E-4</v>
      </c>
      <c r="D31" s="5">
        <v>2.3000000000000001E-4</v>
      </c>
      <c r="E31" s="5">
        <v>2.5999999999999998E-4</v>
      </c>
      <c r="F31" s="5">
        <v>2.9E-4</v>
      </c>
      <c r="G31" s="5">
        <v>3.3E-4</v>
      </c>
      <c r="H31" s="5">
        <v>3.8000000000000002E-4</v>
      </c>
      <c r="I31" s="5">
        <v>4.2999999999999999E-4</v>
      </c>
      <c r="J31" s="5">
        <v>4.6999999999999999E-4</v>
      </c>
      <c r="K31" s="5">
        <v>5.4000000000000001E-4</v>
      </c>
      <c r="L31" s="5">
        <v>6.6E-4</v>
      </c>
      <c r="M31" s="5">
        <v>7.6999999999999996E-4</v>
      </c>
      <c r="N31" s="5">
        <v>9.1E-4</v>
      </c>
      <c r="O31" s="5">
        <v>1.0300000000000001E-3</v>
      </c>
      <c r="P31" s="5">
        <v>1.15E-3</v>
      </c>
      <c r="Q31" s="5">
        <v>1.2700000000000001E-3</v>
      </c>
      <c r="R31" s="5">
        <v>1.39E-3</v>
      </c>
      <c r="S31" s="5">
        <v>1.49E-3</v>
      </c>
      <c r="T31" s="5">
        <v>1.5900000000000001E-3</v>
      </c>
      <c r="U31" s="5">
        <v>1.6999999999999999E-3</v>
      </c>
      <c r="V31" s="5">
        <v>1.82E-3</v>
      </c>
      <c r="W31" s="5">
        <v>1.9599999999999999E-3</v>
      </c>
      <c r="X31" s="5">
        <v>2.15E-3</v>
      </c>
      <c r="Y31" s="5">
        <v>2.3500000000000001E-3</v>
      </c>
      <c r="Z31" s="5">
        <v>2.5799999999999998E-3</v>
      </c>
    </row>
    <row r="32" spans="1:26" x14ac:dyDescent="0.3">
      <c r="A32" s="5">
        <v>25</v>
      </c>
      <c r="B32" s="5">
        <v>1.9000000000000001E-4</v>
      </c>
      <c r="C32" s="5">
        <v>2.0000000000000001E-4</v>
      </c>
      <c r="D32" s="5">
        <v>2.3000000000000001E-4</v>
      </c>
      <c r="E32" s="5">
        <v>2.7E-4</v>
      </c>
      <c r="F32" s="5">
        <v>3.1E-4</v>
      </c>
      <c r="G32" s="5">
        <v>3.6000000000000002E-4</v>
      </c>
      <c r="H32" s="5">
        <v>4.0999999999999999E-4</v>
      </c>
      <c r="I32" s="5">
        <v>4.6000000000000001E-4</v>
      </c>
      <c r="J32" s="5">
        <v>5.1999999999999995E-4</v>
      </c>
      <c r="K32" s="5">
        <v>6.3000000000000003E-4</v>
      </c>
      <c r="L32" s="5">
        <v>7.5000000000000002E-4</v>
      </c>
      <c r="M32" s="5">
        <v>8.8000000000000003E-4</v>
      </c>
      <c r="N32" s="5">
        <v>1.0200000000000001E-3</v>
      </c>
      <c r="O32" s="5">
        <v>1.14E-3</v>
      </c>
      <c r="P32" s="5">
        <v>1.2600000000000001E-3</v>
      </c>
      <c r="Q32" s="5">
        <v>1.3699999999999999E-3</v>
      </c>
      <c r="R32" s="5">
        <v>1.48E-3</v>
      </c>
      <c r="S32" s="5">
        <v>1.58E-3</v>
      </c>
      <c r="T32" s="5">
        <v>1.6900000000000001E-3</v>
      </c>
      <c r="U32" s="5">
        <v>1.8E-3</v>
      </c>
      <c r="V32" s="5">
        <v>1.9599999999999999E-3</v>
      </c>
      <c r="W32" s="5">
        <v>2.15E-3</v>
      </c>
      <c r="X32" s="5">
        <v>2.3500000000000001E-3</v>
      </c>
      <c r="Y32" s="5">
        <v>2.5799999999999998E-3</v>
      </c>
      <c r="Z32" s="5">
        <v>2.8400000000000001E-3</v>
      </c>
    </row>
    <row r="33" spans="1:26" x14ac:dyDescent="0.3">
      <c r="A33" s="5">
        <v>26</v>
      </c>
      <c r="B33" s="5">
        <v>1.8000000000000001E-4</v>
      </c>
      <c r="C33" s="5">
        <v>2.0000000000000001E-4</v>
      </c>
      <c r="D33" s="5">
        <v>2.4000000000000001E-4</v>
      </c>
      <c r="E33" s="5">
        <v>2.9E-4</v>
      </c>
      <c r="F33" s="5">
        <v>3.4000000000000002E-4</v>
      </c>
      <c r="G33" s="5">
        <v>3.8999999999999999E-4</v>
      </c>
      <c r="H33" s="5">
        <v>4.4000000000000002E-4</v>
      </c>
      <c r="I33" s="5">
        <v>5.1000000000000004E-4</v>
      </c>
      <c r="J33" s="5">
        <v>5.9999999999999995E-4</v>
      </c>
      <c r="K33" s="5">
        <v>7.2000000000000005E-4</v>
      </c>
      <c r="L33" s="5">
        <v>8.4999999999999995E-4</v>
      </c>
      <c r="M33" s="5">
        <v>1E-3</v>
      </c>
      <c r="N33" s="5">
        <v>1.14E-3</v>
      </c>
      <c r="O33" s="5">
        <v>1.2600000000000001E-3</v>
      </c>
      <c r="P33" s="5">
        <v>1.3600000000000001E-3</v>
      </c>
      <c r="Q33" s="5">
        <v>1.47E-3</v>
      </c>
      <c r="R33" s="5">
        <v>1.58E-3</v>
      </c>
      <c r="S33" s="5">
        <v>1.6800000000000001E-3</v>
      </c>
      <c r="T33" s="5">
        <v>1.8E-3</v>
      </c>
      <c r="U33" s="5">
        <v>1.9499999999999999E-3</v>
      </c>
      <c r="V33" s="5">
        <v>2.15E-3</v>
      </c>
      <c r="W33" s="5">
        <v>2.3500000000000001E-3</v>
      </c>
      <c r="X33" s="5">
        <v>2.5799999999999998E-3</v>
      </c>
      <c r="Y33" s="5">
        <v>2.8400000000000001E-3</v>
      </c>
      <c r="Z33" s="5">
        <v>3.13E-3</v>
      </c>
    </row>
    <row r="34" spans="1:26" x14ac:dyDescent="0.3">
      <c r="A34" s="5">
        <v>27</v>
      </c>
      <c r="B34" s="5">
        <v>1.8000000000000001E-4</v>
      </c>
      <c r="C34" s="5">
        <v>2.1000000000000001E-4</v>
      </c>
      <c r="D34" s="5">
        <v>2.5999999999999998E-4</v>
      </c>
      <c r="E34" s="5">
        <v>3.1E-4</v>
      </c>
      <c r="F34" s="5">
        <v>3.6000000000000002E-4</v>
      </c>
      <c r="G34" s="5">
        <v>4.2000000000000002E-4</v>
      </c>
      <c r="H34" s="5">
        <v>4.8000000000000001E-4</v>
      </c>
      <c r="I34" s="5">
        <v>5.6999999999999998E-4</v>
      </c>
      <c r="J34" s="5">
        <v>6.8000000000000005E-4</v>
      </c>
      <c r="K34" s="5">
        <v>8.0999999999999996E-4</v>
      </c>
      <c r="L34" s="5">
        <v>9.6000000000000002E-4</v>
      </c>
      <c r="M34" s="5">
        <v>1.1100000000000001E-3</v>
      </c>
      <c r="N34" s="5">
        <v>1.25E-3</v>
      </c>
      <c r="O34" s="5">
        <v>1.3600000000000001E-3</v>
      </c>
      <c r="P34" s="5">
        <v>1.4599999999999999E-3</v>
      </c>
      <c r="Q34" s="5">
        <v>1.57E-3</v>
      </c>
      <c r="R34" s="5">
        <v>1.6800000000000001E-3</v>
      </c>
      <c r="S34" s="5">
        <v>1.7899999999999999E-3</v>
      </c>
      <c r="T34" s="5">
        <v>1.92E-3</v>
      </c>
      <c r="U34" s="5">
        <v>2.14E-3</v>
      </c>
      <c r="V34" s="5">
        <v>2.3500000000000001E-3</v>
      </c>
      <c r="W34" s="5">
        <v>2.5799999999999998E-3</v>
      </c>
      <c r="X34" s="5">
        <v>2.8400000000000001E-3</v>
      </c>
      <c r="Y34" s="5">
        <v>3.13E-3</v>
      </c>
      <c r="Z34" s="5">
        <v>3.4499999999999999E-3</v>
      </c>
    </row>
    <row r="35" spans="1:26" x14ac:dyDescent="0.3">
      <c r="A35" s="5">
        <v>28</v>
      </c>
      <c r="B35" s="5">
        <v>1.8000000000000001E-4</v>
      </c>
      <c r="C35" s="5">
        <v>2.2000000000000001E-4</v>
      </c>
      <c r="D35" s="5">
        <v>2.7999999999999998E-4</v>
      </c>
      <c r="E35" s="5">
        <v>3.3E-4</v>
      </c>
      <c r="F35" s="5">
        <v>3.8999999999999999E-4</v>
      </c>
      <c r="G35" s="5">
        <v>4.6000000000000001E-4</v>
      </c>
      <c r="H35" s="5">
        <v>5.4000000000000001E-4</v>
      </c>
      <c r="I35" s="5">
        <v>6.4000000000000005E-4</v>
      </c>
      <c r="J35" s="5">
        <v>7.6999999999999996E-4</v>
      </c>
      <c r="K35" s="5">
        <v>9.2000000000000003E-4</v>
      </c>
      <c r="L35" s="5">
        <v>1.07E-3</v>
      </c>
      <c r="M35" s="5">
        <v>1.2199999999999999E-3</v>
      </c>
      <c r="N35" s="5">
        <v>1.3500000000000001E-3</v>
      </c>
      <c r="O35" s="5">
        <v>1.4499999999999999E-3</v>
      </c>
      <c r="P35" s="5">
        <v>1.5499999999999999E-3</v>
      </c>
      <c r="Q35" s="5">
        <v>1.66E-3</v>
      </c>
      <c r="R35" s="5">
        <v>1.7899999999999999E-3</v>
      </c>
      <c r="S35" s="5">
        <v>1.92E-3</v>
      </c>
      <c r="T35" s="5">
        <v>2.0899999999999998E-3</v>
      </c>
      <c r="U35" s="5">
        <v>2.3400000000000001E-3</v>
      </c>
      <c r="V35" s="5">
        <v>2.5799999999999998E-3</v>
      </c>
      <c r="W35" s="5">
        <v>2.8400000000000001E-3</v>
      </c>
      <c r="X35" s="5">
        <v>3.13E-3</v>
      </c>
      <c r="Y35" s="5">
        <v>3.4499999999999999E-3</v>
      </c>
      <c r="Z35" s="5">
        <v>3.8E-3</v>
      </c>
    </row>
    <row r="36" spans="1:26" x14ac:dyDescent="0.3">
      <c r="A36" s="5">
        <v>29</v>
      </c>
      <c r="B36" s="5">
        <v>1.9000000000000001E-4</v>
      </c>
      <c r="C36" s="5">
        <v>2.4000000000000001E-4</v>
      </c>
      <c r="D36" s="5">
        <v>2.9999999999999997E-4</v>
      </c>
      <c r="E36" s="5">
        <v>3.6000000000000002E-4</v>
      </c>
      <c r="F36" s="5">
        <v>4.2999999999999999E-4</v>
      </c>
      <c r="G36" s="5">
        <v>5.1000000000000004E-4</v>
      </c>
      <c r="H36" s="5">
        <v>6.0999999999999997E-4</v>
      </c>
      <c r="I36" s="5">
        <v>7.2999999999999996E-4</v>
      </c>
      <c r="J36" s="5">
        <v>8.7000000000000001E-4</v>
      </c>
      <c r="K36" s="5">
        <v>1.0200000000000001E-3</v>
      </c>
      <c r="L36" s="5">
        <v>1.17E-3</v>
      </c>
      <c r="M36" s="5">
        <v>1.2999999999999999E-3</v>
      </c>
      <c r="N36" s="5">
        <v>1.4300000000000001E-3</v>
      </c>
      <c r="O36" s="5">
        <v>1.5299999999999999E-3</v>
      </c>
      <c r="P36" s="5">
        <v>1.64E-3</v>
      </c>
      <c r="Q36" s="5">
        <v>1.7600000000000001E-3</v>
      </c>
      <c r="R36" s="5">
        <v>1.91E-3</v>
      </c>
      <c r="S36" s="5">
        <v>2.0899999999999998E-3</v>
      </c>
      <c r="T36" s="5">
        <v>2.3E-3</v>
      </c>
      <c r="U36" s="5">
        <v>2.5699999999999998E-3</v>
      </c>
      <c r="V36" s="5">
        <v>2.8400000000000001E-3</v>
      </c>
      <c r="W36" s="5">
        <v>3.13E-3</v>
      </c>
      <c r="X36" s="5">
        <v>3.4499999999999999E-3</v>
      </c>
      <c r="Y36" s="5">
        <v>3.8E-3</v>
      </c>
      <c r="Z36" s="5">
        <v>4.1799999999999997E-3</v>
      </c>
    </row>
    <row r="37" spans="1:26" x14ac:dyDescent="0.3">
      <c r="A37" s="5">
        <v>30</v>
      </c>
      <c r="B37" s="5">
        <v>2.0000000000000001E-4</v>
      </c>
      <c r="C37" s="5">
        <v>2.5000000000000001E-4</v>
      </c>
      <c r="D37" s="5">
        <v>3.2000000000000003E-4</v>
      </c>
      <c r="E37" s="5">
        <v>4.0000000000000002E-4</v>
      </c>
      <c r="F37" s="5">
        <v>4.8000000000000001E-4</v>
      </c>
      <c r="G37" s="5">
        <v>5.8E-4</v>
      </c>
      <c r="H37" s="5">
        <v>6.8999999999999997E-4</v>
      </c>
      <c r="I37" s="5">
        <v>8.1999999999999998E-4</v>
      </c>
      <c r="J37" s="5">
        <v>9.7000000000000005E-4</v>
      </c>
      <c r="K37" s="5">
        <v>1.1199999999999999E-3</v>
      </c>
      <c r="L37" s="5">
        <v>1.25E-3</v>
      </c>
      <c r="M37" s="5">
        <v>1.3799999999999999E-3</v>
      </c>
      <c r="N37" s="5">
        <v>1.5100000000000001E-3</v>
      </c>
      <c r="O37" s="5">
        <v>1.6199999999999999E-3</v>
      </c>
      <c r="P37" s="5">
        <v>1.73E-3</v>
      </c>
      <c r="Q37" s="5">
        <v>1.89E-3</v>
      </c>
      <c r="R37" s="5">
        <v>2.0899999999999998E-3</v>
      </c>
      <c r="S37" s="5">
        <v>2.2899999999999999E-3</v>
      </c>
      <c r="T37" s="5">
        <v>2.5400000000000002E-3</v>
      </c>
      <c r="U37" s="5">
        <v>2.82E-3</v>
      </c>
      <c r="V37" s="5">
        <v>3.13E-3</v>
      </c>
      <c r="W37" s="5">
        <v>3.4499999999999999E-3</v>
      </c>
      <c r="X37" s="5">
        <v>3.8E-3</v>
      </c>
      <c r="Y37" s="5">
        <v>4.1799999999999997E-3</v>
      </c>
      <c r="Z37" s="5">
        <v>4.6100000000000004E-3</v>
      </c>
    </row>
    <row r="38" spans="1:26" x14ac:dyDescent="0.3">
      <c r="A38" s="5">
        <v>31</v>
      </c>
      <c r="B38" s="5">
        <v>2.1000000000000001E-4</v>
      </c>
      <c r="C38" s="5">
        <v>2.7E-4</v>
      </c>
      <c r="D38" s="5">
        <v>3.5E-4</v>
      </c>
      <c r="E38" s="5">
        <v>4.4000000000000002E-4</v>
      </c>
      <c r="F38" s="5">
        <v>5.4000000000000001E-4</v>
      </c>
      <c r="G38" s="5">
        <v>6.4999999999999997E-4</v>
      </c>
      <c r="H38" s="5">
        <v>7.7999999999999999E-4</v>
      </c>
      <c r="I38" s="5">
        <v>9.1E-4</v>
      </c>
      <c r="J38" s="5">
        <v>1.0499999999999999E-3</v>
      </c>
      <c r="K38" s="5">
        <v>1.1999999999999999E-3</v>
      </c>
      <c r="L38" s="5">
        <v>1.33E-3</v>
      </c>
      <c r="M38" s="5">
        <v>1.4599999999999999E-3</v>
      </c>
      <c r="N38" s="5">
        <v>1.6000000000000001E-3</v>
      </c>
      <c r="O38" s="5">
        <v>1.72E-3</v>
      </c>
      <c r="P38" s="5">
        <v>1.8600000000000001E-3</v>
      </c>
      <c r="Q38" s="5">
        <v>2.0600000000000002E-3</v>
      </c>
      <c r="R38" s="5">
        <v>2.2899999999999999E-3</v>
      </c>
      <c r="S38" s="5">
        <v>2.5300000000000001E-3</v>
      </c>
      <c r="T38" s="5">
        <v>2.81E-3</v>
      </c>
      <c r="U38" s="5">
        <v>3.0999999999999999E-3</v>
      </c>
      <c r="V38" s="5">
        <v>3.4499999999999999E-3</v>
      </c>
      <c r="W38" s="5">
        <v>3.8E-3</v>
      </c>
      <c r="X38" s="5">
        <v>4.1799999999999997E-3</v>
      </c>
      <c r="Y38" s="5">
        <v>4.6100000000000004E-3</v>
      </c>
      <c r="Z38" s="5">
        <v>5.0899999999999999E-3</v>
      </c>
    </row>
    <row r="39" spans="1:26" x14ac:dyDescent="0.3">
      <c r="A39" s="5">
        <v>32</v>
      </c>
      <c r="B39" s="5">
        <v>2.2000000000000001E-4</v>
      </c>
      <c r="C39" s="5">
        <v>2.9999999999999997E-4</v>
      </c>
      <c r="D39" s="5">
        <v>4.0000000000000002E-4</v>
      </c>
      <c r="E39" s="5">
        <v>5.0000000000000001E-4</v>
      </c>
      <c r="F39" s="5">
        <v>6.0999999999999997E-4</v>
      </c>
      <c r="G39" s="5">
        <v>7.3999999999999999E-4</v>
      </c>
      <c r="H39" s="5">
        <v>8.7000000000000001E-4</v>
      </c>
      <c r="I39" s="5">
        <v>1E-3</v>
      </c>
      <c r="J39" s="5">
        <v>1.1299999999999999E-3</v>
      </c>
      <c r="K39" s="5">
        <v>1.2800000000000001E-3</v>
      </c>
      <c r="L39" s="5">
        <v>1.41E-3</v>
      </c>
      <c r="M39" s="5">
        <v>1.5399999999999999E-3</v>
      </c>
      <c r="N39" s="5">
        <v>1.6999999999999999E-3</v>
      </c>
      <c r="O39" s="5">
        <v>1.8500000000000001E-3</v>
      </c>
      <c r="P39" s="5">
        <v>2.0400000000000001E-3</v>
      </c>
      <c r="Q39" s="5">
        <v>2.2699999999999999E-3</v>
      </c>
      <c r="R39" s="5">
        <v>2.5200000000000001E-3</v>
      </c>
      <c r="S39" s="5">
        <v>2.8E-3</v>
      </c>
      <c r="T39" s="5">
        <v>3.0699999999999998E-3</v>
      </c>
      <c r="U39" s="5">
        <v>3.4099999999999998E-3</v>
      </c>
      <c r="V39" s="5">
        <v>3.8E-3</v>
      </c>
      <c r="W39" s="5">
        <v>4.1799999999999997E-3</v>
      </c>
      <c r="X39" s="5">
        <v>4.6100000000000004E-3</v>
      </c>
      <c r="Y39" s="5">
        <v>5.0899999999999999E-3</v>
      </c>
      <c r="Z39" s="5">
        <v>5.64E-3</v>
      </c>
    </row>
    <row r="40" spans="1:26" x14ac:dyDescent="0.3">
      <c r="A40" s="5">
        <v>33</v>
      </c>
      <c r="B40" s="5">
        <v>2.4000000000000001E-4</v>
      </c>
      <c r="C40" s="5">
        <v>3.3E-4</v>
      </c>
      <c r="D40" s="5">
        <v>4.4999999999999999E-4</v>
      </c>
      <c r="E40" s="5">
        <v>5.6999999999999998E-4</v>
      </c>
      <c r="F40" s="5">
        <v>6.8999999999999997E-4</v>
      </c>
      <c r="G40" s="5">
        <v>8.1999999999999998E-4</v>
      </c>
      <c r="H40" s="5">
        <v>9.5E-4</v>
      </c>
      <c r="I40" s="5">
        <v>1.07E-3</v>
      </c>
      <c r="J40" s="5">
        <v>1.1999999999999999E-3</v>
      </c>
      <c r="K40" s="5">
        <v>1.3500000000000001E-3</v>
      </c>
      <c r="L40" s="5">
        <v>1.49E-3</v>
      </c>
      <c r="M40" s="5">
        <v>1.64E-3</v>
      </c>
      <c r="N40" s="5">
        <v>1.8400000000000001E-3</v>
      </c>
      <c r="O40" s="5">
        <v>2.0300000000000001E-3</v>
      </c>
      <c r="P40" s="5">
        <v>2.2399999999999998E-3</v>
      </c>
      <c r="Q40" s="5">
        <v>2.5000000000000001E-3</v>
      </c>
      <c r="R40" s="5">
        <v>2.7799999999999999E-3</v>
      </c>
      <c r="S40" s="5">
        <v>3.0699999999999998E-3</v>
      </c>
      <c r="T40" s="5">
        <v>3.3800000000000002E-3</v>
      </c>
      <c r="U40" s="5">
        <v>3.7599999999999999E-3</v>
      </c>
      <c r="V40" s="5">
        <v>4.1799999999999997E-3</v>
      </c>
      <c r="W40" s="5">
        <v>4.6100000000000004E-3</v>
      </c>
      <c r="X40" s="5">
        <v>5.0899999999999999E-3</v>
      </c>
      <c r="Y40" s="5">
        <v>5.64E-3</v>
      </c>
      <c r="Z40" s="5">
        <v>6.2599999999999999E-3</v>
      </c>
    </row>
    <row r="41" spans="1:26" x14ac:dyDescent="0.3">
      <c r="A41" s="5">
        <v>34</v>
      </c>
      <c r="B41" s="5">
        <v>2.5999999999999998E-4</v>
      </c>
      <c r="C41" s="5">
        <v>3.6999999999999999E-4</v>
      </c>
      <c r="D41" s="5">
        <v>5.1000000000000004E-4</v>
      </c>
      <c r="E41" s="5">
        <v>6.4999999999999997E-4</v>
      </c>
      <c r="F41" s="5">
        <v>7.6999999999999996E-4</v>
      </c>
      <c r="G41" s="5">
        <v>8.9999999999999998E-4</v>
      </c>
      <c r="H41" s="5">
        <v>1.0200000000000001E-3</v>
      </c>
      <c r="I41" s="5">
        <v>1.14E-3</v>
      </c>
      <c r="J41" s="5">
        <v>1.2700000000000001E-3</v>
      </c>
      <c r="K41" s="5">
        <v>1.4300000000000001E-3</v>
      </c>
      <c r="L41" s="5">
        <v>1.58E-3</v>
      </c>
      <c r="M41" s="5">
        <v>1.7899999999999999E-3</v>
      </c>
      <c r="N41" s="5">
        <v>2.0200000000000001E-3</v>
      </c>
      <c r="O41" s="5">
        <v>2.2399999999999998E-3</v>
      </c>
      <c r="P41" s="5">
        <v>2.48E-3</v>
      </c>
      <c r="Q41" s="5">
        <v>2.7599999999999999E-3</v>
      </c>
      <c r="R41" s="5">
        <v>3.0599999999999998E-3</v>
      </c>
      <c r="S41" s="5">
        <v>3.3700000000000002E-3</v>
      </c>
      <c r="T41" s="5">
        <v>3.7399999999999998E-3</v>
      </c>
      <c r="U41" s="5">
        <v>4.1599999999999996E-3</v>
      </c>
      <c r="V41" s="5">
        <v>4.6100000000000004E-3</v>
      </c>
      <c r="W41" s="5">
        <v>5.0899999999999999E-3</v>
      </c>
      <c r="X41" s="5">
        <v>5.64E-3</v>
      </c>
      <c r="Y41" s="5">
        <v>6.2599999999999999E-3</v>
      </c>
      <c r="Z41" s="5">
        <v>6.9499999999999996E-3</v>
      </c>
    </row>
    <row r="42" spans="1:26" x14ac:dyDescent="0.3">
      <c r="A42" s="5">
        <v>35</v>
      </c>
      <c r="B42" s="5">
        <v>2.9E-4</v>
      </c>
      <c r="C42" s="5">
        <v>4.2000000000000002E-4</v>
      </c>
      <c r="D42" s="5">
        <v>5.6999999999999998E-4</v>
      </c>
      <c r="E42" s="5">
        <v>7.2000000000000005E-4</v>
      </c>
      <c r="F42" s="5">
        <v>8.4999999999999995E-4</v>
      </c>
      <c r="G42" s="5">
        <v>9.7000000000000005E-4</v>
      </c>
      <c r="H42" s="5">
        <v>1.09E-3</v>
      </c>
      <c r="I42" s="5">
        <v>1.2099999999999999E-3</v>
      </c>
      <c r="J42" s="5">
        <v>1.3500000000000001E-3</v>
      </c>
      <c r="K42" s="5">
        <v>1.5100000000000001E-3</v>
      </c>
      <c r="L42" s="5">
        <v>1.75E-3</v>
      </c>
      <c r="M42" s="5">
        <v>1.99E-3</v>
      </c>
      <c r="N42" s="5">
        <v>2.2300000000000002E-3</v>
      </c>
      <c r="O42" s="5">
        <v>2.48E-3</v>
      </c>
      <c r="P42" s="5">
        <v>2.7399999999999998E-3</v>
      </c>
      <c r="Q42" s="5">
        <v>3.0500000000000002E-3</v>
      </c>
      <c r="R42" s="5">
        <v>3.3700000000000002E-3</v>
      </c>
      <c r="S42" s="5">
        <v>3.7299999999999998E-3</v>
      </c>
      <c r="T42" s="5">
        <v>4.1599999999999996E-3</v>
      </c>
      <c r="U42" s="5">
        <v>4.6100000000000004E-3</v>
      </c>
      <c r="V42" s="5">
        <v>5.0899999999999999E-3</v>
      </c>
      <c r="W42" s="5">
        <v>5.64E-3</v>
      </c>
      <c r="X42" s="5">
        <v>6.2599999999999999E-3</v>
      </c>
      <c r="Y42" s="5">
        <v>6.9499999999999996E-3</v>
      </c>
      <c r="Z42" s="5">
        <v>7.7099999999999998E-3</v>
      </c>
    </row>
    <row r="43" spans="1:26" x14ac:dyDescent="0.3">
      <c r="A43" s="5">
        <v>36</v>
      </c>
      <c r="B43" s="5">
        <v>3.2000000000000003E-4</v>
      </c>
      <c r="C43" s="5">
        <v>4.6000000000000001E-4</v>
      </c>
      <c r="D43" s="5">
        <v>6.3000000000000003E-4</v>
      </c>
      <c r="E43" s="5">
        <v>7.9000000000000001E-4</v>
      </c>
      <c r="F43" s="5">
        <v>9.1E-4</v>
      </c>
      <c r="G43" s="5">
        <v>1.0300000000000001E-3</v>
      </c>
      <c r="H43" s="5">
        <v>1.15E-3</v>
      </c>
      <c r="I43" s="5">
        <v>1.2800000000000001E-3</v>
      </c>
      <c r="J43" s="5">
        <v>1.42E-3</v>
      </c>
      <c r="K43" s="5">
        <v>1.6999999999999999E-3</v>
      </c>
      <c r="L43" s="5">
        <v>1.98E-3</v>
      </c>
      <c r="M43" s="5">
        <v>2.1900000000000001E-3</v>
      </c>
      <c r="N43" s="5">
        <v>2.4599999999999999E-3</v>
      </c>
      <c r="O43" s="5">
        <v>2.7299999999999998E-3</v>
      </c>
      <c r="P43" s="5">
        <v>3.0200000000000001E-3</v>
      </c>
      <c r="Q43" s="5">
        <v>3.3600000000000001E-3</v>
      </c>
      <c r="R43" s="5">
        <v>3.7299999999999998E-3</v>
      </c>
      <c r="S43" s="5">
        <v>4.15E-3</v>
      </c>
      <c r="T43" s="5">
        <v>4.5999999999999999E-3</v>
      </c>
      <c r="U43" s="5">
        <v>5.0899999999999999E-3</v>
      </c>
      <c r="V43" s="5">
        <v>5.64E-3</v>
      </c>
      <c r="W43" s="5">
        <v>6.2599999999999999E-3</v>
      </c>
      <c r="X43" s="5">
        <v>6.9499999999999996E-3</v>
      </c>
      <c r="Y43" s="5">
        <v>7.7099999999999998E-3</v>
      </c>
      <c r="Z43" s="5">
        <v>8.5599999999999999E-3</v>
      </c>
    </row>
    <row r="44" spans="1:26" x14ac:dyDescent="0.3">
      <c r="A44" s="5">
        <v>37</v>
      </c>
      <c r="B44" s="5">
        <v>3.5E-4</v>
      </c>
      <c r="C44" s="5">
        <v>5.1000000000000004E-4</v>
      </c>
      <c r="D44" s="5">
        <v>6.8999999999999997E-4</v>
      </c>
      <c r="E44" s="5">
        <v>8.4999999999999995E-4</v>
      </c>
      <c r="F44" s="5">
        <v>9.7999999999999997E-4</v>
      </c>
      <c r="G44" s="5">
        <v>1.1000000000000001E-3</v>
      </c>
      <c r="H44" s="5">
        <v>1.2199999999999999E-3</v>
      </c>
      <c r="I44" s="5">
        <v>1.3600000000000001E-3</v>
      </c>
      <c r="J44" s="5">
        <v>1.6199999999999999E-3</v>
      </c>
      <c r="K44" s="5">
        <v>1.9499999999999999E-3</v>
      </c>
      <c r="L44" s="5">
        <v>2.1800000000000001E-3</v>
      </c>
      <c r="M44" s="5">
        <v>2.4199999999999998E-3</v>
      </c>
      <c r="N44" s="5">
        <v>2.7100000000000002E-3</v>
      </c>
      <c r="O44" s="5">
        <v>3.0200000000000001E-3</v>
      </c>
      <c r="P44" s="5">
        <v>3.3400000000000001E-3</v>
      </c>
      <c r="Q44" s="5">
        <v>3.7200000000000002E-3</v>
      </c>
      <c r="R44" s="5">
        <v>4.1399999999999996E-3</v>
      </c>
      <c r="S44" s="5">
        <v>4.5999999999999999E-3</v>
      </c>
      <c r="T44" s="5">
        <v>5.0899999999999999E-3</v>
      </c>
      <c r="U44" s="5">
        <v>5.64E-3</v>
      </c>
      <c r="V44" s="5">
        <v>6.2599999999999999E-3</v>
      </c>
      <c r="W44" s="5">
        <v>6.9499999999999996E-3</v>
      </c>
      <c r="X44" s="5">
        <v>7.7099999999999998E-3</v>
      </c>
      <c r="Y44" s="5">
        <v>8.5599999999999999E-3</v>
      </c>
      <c r="Z44" s="5">
        <v>9.5099999999999994E-3</v>
      </c>
    </row>
    <row r="45" spans="1:26" x14ac:dyDescent="0.3">
      <c r="A45" s="5">
        <v>38</v>
      </c>
      <c r="B45" s="5">
        <v>3.8000000000000002E-4</v>
      </c>
      <c r="C45" s="5">
        <v>5.5000000000000003E-4</v>
      </c>
      <c r="D45" s="5">
        <v>7.5000000000000002E-4</v>
      </c>
      <c r="E45" s="5">
        <v>9.1E-4</v>
      </c>
      <c r="F45" s="5">
        <v>1.0399999999999999E-3</v>
      </c>
      <c r="G45" s="5">
        <v>1.17E-3</v>
      </c>
      <c r="H45" s="5">
        <v>1.2999999999999999E-3</v>
      </c>
      <c r="I45" s="5">
        <v>1.5499999999999999E-3</v>
      </c>
      <c r="J45" s="5">
        <v>1.8699999999999999E-3</v>
      </c>
      <c r="K45" s="5">
        <v>2.15E-3</v>
      </c>
      <c r="L45" s="5">
        <v>2.3999999999999998E-3</v>
      </c>
      <c r="M45" s="5">
        <v>2.6700000000000001E-3</v>
      </c>
      <c r="N45" s="5">
        <v>3.0000000000000001E-3</v>
      </c>
      <c r="O45" s="5">
        <v>3.3400000000000001E-3</v>
      </c>
      <c r="P45" s="5">
        <v>3.7100000000000002E-3</v>
      </c>
      <c r="Q45" s="5">
        <v>4.13E-3</v>
      </c>
      <c r="R45" s="5">
        <v>4.5900000000000003E-3</v>
      </c>
      <c r="S45" s="5">
        <v>5.0899999999999999E-3</v>
      </c>
      <c r="T45" s="5">
        <v>5.64E-3</v>
      </c>
      <c r="U45" s="5">
        <v>6.2599999999999999E-3</v>
      </c>
      <c r="V45" s="5">
        <v>6.9499999999999996E-3</v>
      </c>
      <c r="W45" s="5">
        <v>7.7099999999999998E-3</v>
      </c>
      <c r="X45" s="5">
        <v>8.5599999999999999E-3</v>
      </c>
      <c r="Y45" s="5">
        <v>9.5099999999999994E-3</v>
      </c>
      <c r="Z45" s="5">
        <v>1.055E-2</v>
      </c>
    </row>
    <row r="46" spans="1:26" x14ac:dyDescent="0.3">
      <c r="A46" s="5">
        <v>39</v>
      </c>
      <c r="B46" s="5">
        <v>4.0999999999999999E-4</v>
      </c>
      <c r="C46" s="5">
        <v>5.9000000000000003E-4</v>
      </c>
      <c r="D46" s="5">
        <v>8.0000000000000004E-4</v>
      </c>
      <c r="E46" s="5">
        <v>9.7000000000000005E-4</v>
      </c>
      <c r="F46" s="5">
        <v>1.1100000000000001E-3</v>
      </c>
      <c r="G46" s="5">
        <v>1.25E-3</v>
      </c>
      <c r="H46" s="5">
        <v>1.47E-3</v>
      </c>
      <c r="I46" s="5">
        <v>1.7799999999999999E-3</v>
      </c>
      <c r="J46" s="5">
        <v>2.0600000000000002E-3</v>
      </c>
      <c r="K46" s="5">
        <v>2.3700000000000001E-3</v>
      </c>
      <c r="L46" s="5">
        <v>2.65E-3</v>
      </c>
      <c r="M46" s="5">
        <v>2.9499999999999999E-3</v>
      </c>
      <c r="N46" s="5">
        <v>3.32E-3</v>
      </c>
      <c r="O46" s="5">
        <v>3.7000000000000002E-3</v>
      </c>
      <c r="P46" s="5">
        <v>4.1000000000000003E-3</v>
      </c>
      <c r="Q46" s="5">
        <v>4.5900000000000003E-3</v>
      </c>
      <c r="R46" s="5">
        <v>5.0899999999999999E-3</v>
      </c>
      <c r="S46" s="5">
        <v>5.64E-3</v>
      </c>
      <c r="T46" s="5">
        <v>6.2500000000000003E-3</v>
      </c>
      <c r="U46" s="5">
        <v>6.94E-3</v>
      </c>
      <c r="V46" s="5">
        <v>7.7099999999999998E-3</v>
      </c>
      <c r="W46" s="5">
        <v>8.5599999999999999E-3</v>
      </c>
      <c r="X46" s="5">
        <v>9.5099999999999994E-3</v>
      </c>
      <c r="Y46" s="5">
        <v>1.055E-2</v>
      </c>
      <c r="Z46" s="5">
        <v>1.1679999999999999E-2</v>
      </c>
    </row>
    <row r="47" spans="1:26" x14ac:dyDescent="0.3">
      <c r="A47" s="5">
        <v>40</v>
      </c>
      <c r="B47" s="5">
        <v>4.2999999999999999E-4</v>
      </c>
      <c r="C47" s="5">
        <v>6.2E-4</v>
      </c>
      <c r="D47" s="5">
        <v>8.4000000000000003E-4</v>
      </c>
      <c r="E47" s="5">
        <v>1.0399999999999999E-3</v>
      </c>
      <c r="F47" s="5">
        <v>1.1900000000000001E-3</v>
      </c>
      <c r="G47" s="5">
        <v>1.3799999999999999E-3</v>
      </c>
      <c r="H47" s="5">
        <v>1.6800000000000001E-3</v>
      </c>
      <c r="I47" s="5">
        <v>1.97E-3</v>
      </c>
      <c r="J47" s="5">
        <v>2.2699999999999999E-3</v>
      </c>
      <c r="K47" s="5">
        <v>2.6099999999999999E-3</v>
      </c>
      <c r="L47" s="5">
        <v>2.9299999999999999E-3</v>
      </c>
      <c r="M47" s="5">
        <v>3.2699999999999999E-3</v>
      </c>
      <c r="N47" s="5">
        <v>3.6700000000000001E-3</v>
      </c>
      <c r="O47" s="5">
        <v>4.1000000000000003E-3</v>
      </c>
      <c r="P47" s="5">
        <v>4.5399999999999998E-3</v>
      </c>
      <c r="Q47" s="5">
        <v>5.0800000000000003E-3</v>
      </c>
      <c r="R47" s="5">
        <v>5.6299999999999996E-3</v>
      </c>
      <c r="S47" s="5">
        <v>6.2500000000000003E-3</v>
      </c>
      <c r="T47" s="5">
        <v>6.9300000000000004E-3</v>
      </c>
      <c r="U47" s="5">
        <v>7.7000000000000002E-3</v>
      </c>
      <c r="V47" s="5">
        <v>8.5599999999999999E-3</v>
      </c>
      <c r="W47" s="5">
        <v>9.5099999999999994E-3</v>
      </c>
      <c r="X47" s="5">
        <v>1.055E-2</v>
      </c>
      <c r="Y47" s="5">
        <v>1.1679999999999999E-2</v>
      </c>
      <c r="Z47" s="5">
        <v>1.2919999999999999E-2</v>
      </c>
    </row>
    <row r="48" spans="1:26" x14ac:dyDescent="0.3">
      <c r="A48" s="5">
        <v>41</v>
      </c>
      <c r="B48" s="5">
        <v>4.4000000000000002E-4</v>
      </c>
      <c r="C48" s="5">
        <v>6.4999999999999997E-4</v>
      </c>
      <c r="D48" s="5">
        <v>8.9999999999999998E-4</v>
      </c>
      <c r="E48" s="5">
        <v>1.1100000000000001E-3</v>
      </c>
      <c r="F48" s="5">
        <v>1.2899999999999999E-3</v>
      </c>
      <c r="G48" s="5">
        <v>1.56E-3</v>
      </c>
      <c r="H48" s="5">
        <v>1.8500000000000001E-3</v>
      </c>
      <c r="I48" s="5">
        <v>2.1700000000000001E-3</v>
      </c>
      <c r="J48" s="5">
        <v>2.5100000000000001E-3</v>
      </c>
      <c r="K48" s="5">
        <v>2.8800000000000002E-3</v>
      </c>
      <c r="L48" s="5">
        <v>3.2399999999999998E-3</v>
      </c>
      <c r="M48" s="5">
        <v>3.62E-3</v>
      </c>
      <c r="N48" s="5">
        <v>4.0699999999999998E-3</v>
      </c>
      <c r="O48" s="5">
        <v>4.5399999999999998E-3</v>
      </c>
      <c r="P48" s="5">
        <v>5.0200000000000002E-3</v>
      </c>
      <c r="Q48" s="5">
        <v>5.6299999999999996E-3</v>
      </c>
      <c r="R48" s="5">
        <v>6.2500000000000003E-3</v>
      </c>
      <c r="S48" s="5">
        <v>6.9300000000000004E-3</v>
      </c>
      <c r="T48" s="5">
        <v>7.6899999999999998E-3</v>
      </c>
      <c r="U48" s="5">
        <v>8.5400000000000007E-3</v>
      </c>
      <c r="V48" s="5">
        <v>9.5099999999999994E-3</v>
      </c>
      <c r="W48" s="5">
        <v>1.055E-2</v>
      </c>
      <c r="X48" s="5">
        <v>1.1679999999999999E-2</v>
      </c>
      <c r="Y48" s="5">
        <v>1.2919999999999999E-2</v>
      </c>
      <c r="Z48" s="5">
        <v>1.426E-2</v>
      </c>
    </row>
    <row r="49" spans="1:26" x14ac:dyDescent="0.3">
      <c r="A49" s="5">
        <v>42</v>
      </c>
      <c r="B49" s="5">
        <v>4.6000000000000001E-4</v>
      </c>
      <c r="C49" s="5">
        <v>6.8000000000000005E-4</v>
      </c>
      <c r="D49" s="5">
        <v>9.5E-4</v>
      </c>
      <c r="E49" s="5">
        <v>1.1999999999999999E-3</v>
      </c>
      <c r="F49" s="5">
        <v>1.42E-3</v>
      </c>
      <c r="G49" s="5">
        <v>1.72E-3</v>
      </c>
      <c r="H49" s="5">
        <v>2.0400000000000001E-3</v>
      </c>
      <c r="I49" s="5">
        <v>2.3900000000000002E-3</v>
      </c>
      <c r="J49" s="5">
        <v>2.7699999999999999E-3</v>
      </c>
      <c r="K49" s="5">
        <v>3.1900000000000001E-3</v>
      </c>
      <c r="L49" s="5">
        <v>3.5899999999999999E-3</v>
      </c>
      <c r="M49" s="5">
        <v>4.0099999999999997E-3</v>
      </c>
      <c r="N49" s="5">
        <v>4.4999999999999997E-3</v>
      </c>
      <c r="O49" s="5">
        <v>4.9899999999999996E-3</v>
      </c>
      <c r="P49" s="5">
        <v>5.5599999999999998E-3</v>
      </c>
      <c r="Q49" s="5">
        <v>6.2399999999999999E-3</v>
      </c>
      <c r="R49" s="5">
        <v>6.9199999999999999E-3</v>
      </c>
      <c r="S49" s="5">
        <v>7.6800000000000002E-3</v>
      </c>
      <c r="T49" s="5">
        <v>8.5299999999999994E-3</v>
      </c>
      <c r="U49" s="5">
        <v>9.4800000000000006E-3</v>
      </c>
      <c r="V49" s="5">
        <v>1.055E-2</v>
      </c>
      <c r="W49" s="5">
        <v>1.1679999999999999E-2</v>
      </c>
      <c r="X49" s="5">
        <v>1.2919999999999999E-2</v>
      </c>
      <c r="Y49" s="5">
        <v>1.426E-2</v>
      </c>
      <c r="Z49" s="5">
        <v>1.5699999999999999E-2</v>
      </c>
    </row>
    <row r="50" spans="1:26" x14ac:dyDescent="0.3">
      <c r="A50" s="5">
        <v>43</v>
      </c>
      <c r="B50" s="5">
        <v>4.6999999999999999E-4</v>
      </c>
      <c r="C50" s="5">
        <v>7.1000000000000002E-4</v>
      </c>
      <c r="D50" s="5">
        <v>1.0300000000000001E-3</v>
      </c>
      <c r="E50" s="5">
        <v>1.32E-3</v>
      </c>
      <c r="F50" s="5">
        <v>1.57E-3</v>
      </c>
      <c r="G50" s="5">
        <v>1.89E-3</v>
      </c>
      <c r="H50" s="5">
        <v>2.2499999999999998E-3</v>
      </c>
      <c r="I50" s="5">
        <v>2.65E-3</v>
      </c>
      <c r="J50" s="5">
        <v>3.0699999999999998E-3</v>
      </c>
      <c r="K50" s="5">
        <v>3.5300000000000002E-3</v>
      </c>
      <c r="L50" s="5">
        <v>3.9699999999999996E-3</v>
      </c>
      <c r="M50" s="5">
        <v>4.4299999999999999E-3</v>
      </c>
      <c r="N50" s="5">
        <v>4.9399999999999999E-3</v>
      </c>
      <c r="O50" s="5">
        <v>5.5100000000000001E-3</v>
      </c>
      <c r="P50" s="5">
        <v>6.1599999999999997E-3</v>
      </c>
      <c r="Q50" s="5">
        <v>6.9199999999999999E-3</v>
      </c>
      <c r="R50" s="5">
        <v>7.6699999999999997E-3</v>
      </c>
      <c r="S50" s="5">
        <v>8.5100000000000002E-3</v>
      </c>
      <c r="T50" s="5">
        <v>9.4599999999999997E-3</v>
      </c>
      <c r="U50" s="5">
        <v>1.0500000000000001E-2</v>
      </c>
      <c r="V50" s="5">
        <v>1.1679999999999999E-2</v>
      </c>
      <c r="W50" s="5">
        <v>1.2919999999999999E-2</v>
      </c>
      <c r="X50" s="5">
        <v>1.426E-2</v>
      </c>
      <c r="Y50" s="5">
        <v>1.5699999999999999E-2</v>
      </c>
      <c r="Z50" s="5">
        <v>1.7229999999999999E-2</v>
      </c>
    </row>
    <row r="51" spans="1:26" x14ac:dyDescent="0.3">
      <c r="A51" s="5">
        <v>44</v>
      </c>
      <c r="B51" s="5">
        <v>4.8999999999999998E-4</v>
      </c>
      <c r="C51" s="5">
        <v>7.6000000000000004E-4</v>
      </c>
      <c r="D51" s="5">
        <v>1.1199999999999999E-3</v>
      </c>
      <c r="E51" s="5">
        <v>1.4599999999999999E-3</v>
      </c>
      <c r="F51" s="5">
        <v>1.73E-3</v>
      </c>
      <c r="G51" s="5">
        <v>2.0999999999999999E-3</v>
      </c>
      <c r="H51" s="5">
        <v>2.49E-3</v>
      </c>
      <c r="I51" s="5">
        <v>2.9299999999999999E-3</v>
      </c>
      <c r="J51" s="5">
        <v>3.3999999999999998E-3</v>
      </c>
      <c r="K51" s="5">
        <v>3.9100000000000003E-3</v>
      </c>
      <c r="L51" s="5">
        <v>4.3899999999999998E-3</v>
      </c>
      <c r="M51" s="5">
        <v>4.8500000000000001E-3</v>
      </c>
      <c r="N51" s="5">
        <v>5.4299999999999999E-3</v>
      </c>
      <c r="O51" s="5">
        <v>6.1000000000000004E-3</v>
      </c>
      <c r="P51" s="5">
        <v>6.8300000000000001E-3</v>
      </c>
      <c r="Q51" s="5">
        <v>7.6600000000000001E-3</v>
      </c>
      <c r="R51" s="5">
        <v>8.5000000000000006E-3</v>
      </c>
      <c r="S51" s="5">
        <v>9.4500000000000001E-3</v>
      </c>
      <c r="T51" s="5">
        <v>1.0500000000000001E-2</v>
      </c>
      <c r="U51" s="5">
        <v>1.1650000000000001E-2</v>
      </c>
      <c r="V51" s="5">
        <v>1.2919999999999999E-2</v>
      </c>
      <c r="W51" s="5">
        <v>1.426E-2</v>
      </c>
      <c r="X51" s="5">
        <v>1.5699999999999999E-2</v>
      </c>
      <c r="Y51" s="5">
        <v>1.7229999999999999E-2</v>
      </c>
      <c r="Z51" s="5">
        <v>1.8839999999999999E-2</v>
      </c>
    </row>
    <row r="52" spans="1:26" x14ac:dyDescent="0.3">
      <c r="A52" s="5">
        <v>45</v>
      </c>
      <c r="B52" s="5">
        <v>5.1000000000000004E-4</v>
      </c>
      <c r="C52" s="5">
        <v>8.1999999999999998E-4</v>
      </c>
      <c r="D52" s="5">
        <v>1.23E-3</v>
      </c>
      <c r="E52" s="5">
        <v>1.6100000000000001E-3</v>
      </c>
      <c r="F52" s="5">
        <v>1.92E-3</v>
      </c>
      <c r="G52" s="5">
        <v>2.32E-3</v>
      </c>
      <c r="H52" s="5">
        <v>2.7599999999999999E-3</v>
      </c>
      <c r="I52" s="5">
        <v>3.2399999999999998E-3</v>
      </c>
      <c r="J52" s="5">
        <v>3.7599999999999999E-3</v>
      </c>
      <c r="K52" s="5">
        <v>4.3200000000000001E-3</v>
      </c>
      <c r="L52" s="5">
        <v>4.81E-3</v>
      </c>
      <c r="M52" s="5">
        <v>5.3299999999999997E-3</v>
      </c>
      <c r="N52" s="5">
        <v>6.0200000000000002E-3</v>
      </c>
      <c r="O52" s="5">
        <v>6.77E-3</v>
      </c>
      <c r="P52" s="5">
        <v>7.5700000000000003E-3</v>
      </c>
      <c r="Q52" s="5">
        <v>8.4799999999999997E-3</v>
      </c>
      <c r="R52" s="5">
        <v>9.4400000000000005E-3</v>
      </c>
      <c r="S52" s="5">
        <v>1.0489999999999999E-2</v>
      </c>
      <c r="T52" s="5">
        <v>1.1639999999999999E-2</v>
      </c>
      <c r="U52" s="5">
        <v>1.286E-2</v>
      </c>
      <c r="V52" s="5">
        <v>1.426E-2</v>
      </c>
      <c r="W52" s="5">
        <v>1.5699999999999999E-2</v>
      </c>
      <c r="X52" s="5">
        <v>1.7229999999999999E-2</v>
      </c>
      <c r="Y52" s="5">
        <v>1.8839999999999999E-2</v>
      </c>
      <c r="Z52" s="5">
        <v>2.0570000000000001E-2</v>
      </c>
    </row>
    <row r="53" spans="1:26" x14ac:dyDescent="0.3">
      <c r="A53" s="5">
        <v>46</v>
      </c>
      <c r="B53" s="5">
        <v>5.5000000000000003E-4</v>
      </c>
      <c r="C53" s="5">
        <v>8.8999999999999995E-4</v>
      </c>
      <c r="D53" s="5">
        <v>1.3500000000000001E-3</v>
      </c>
      <c r="E53" s="5">
        <v>1.7799999999999999E-3</v>
      </c>
      <c r="F53" s="5">
        <v>2.1199999999999999E-3</v>
      </c>
      <c r="G53" s="5">
        <v>2.5699999999999998E-3</v>
      </c>
      <c r="H53" s="5">
        <v>3.0599999999999998E-3</v>
      </c>
      <c r="I53" s="5">
        <v>3.5999999999999999E-3</v>
      </c>
      <c r="J53" s="5">
        <v>4.1700000000000001E-3</v>
      </c>
      <c r="K53" s="5">
        <v>4.7299999999999998E-3</v>
      </c>
      <c r="L53" s="5">
        <v>5.2700000000000004E-3</v>
      </c>
      <c r="M53" s="5">
        <v>5.9100000000000003E-3</v>
      </c>
      <c r="N53" s="5">
        <v>6.6800000000000002E-3</v>
      </c>
      <c r="O53" s="5">
        <v>7.5100000000000002E-3</v>
      </c>
      <c r="P53" s="5">
        <v>8.3999999999999995E-3</v>
      </c>
      <c r="Q53" s="5">
        <v>9.41E-3</v>
      </c>
      <c r="R53" s="5">
        <v>1.048E-2</v>
      </c>
      <c r="S53" s="5">
        <v>1.163E-2</v>
      </c>
      <c r="T53" s="5">
        <v>1.285E-2</v>
      </c>
      <c r="U53" s="5">
        <v>1.414E-2</v>
      </c>
      <c r="V53" s="5">
        <v>1.5699999999999999E-2</v>
      </c>
      <c r="W53" s="5">
        <v>1.7229999999999999E-2</v>
      </c>
      <c r="X53" s="5">
        <v>1.8839999999999999E-2</v>
      </c>
      <c r="Y53" s="5">
        <v>2.0570000000000001E-2</v>
      </c>
      <c r="Z53" s="5">
        <v>2.249E-2</v>
      </c>
    </row>
    <row r="54" spans="1:26" x14ac:dyDescent="0.3">
      <c r="A54" s="5">
        <v>47</v>
      </c>
      <c r="B54" s="5">
        <v>5.8E-4</v>
      </c>
      <c r="C54" s="5">
        <v>9.7000000000000005E-4</v>
      </c>
      <c r="D54" s="5">
        <v>1.48E-3</v>
      </c>
      <c r="E54" s="5">
        <v>1.97E-3</v>
      </c>
      <c r="F54" s="5">
        <v>2.3600000000000001E-3</v>
      </c>
      <c r="G54" s="5">
        <v>2.8500000000000001E-3</v>
      </c>
      <c r="H54" s="5">
        <v>3.3999999999999998E-3</v>
      </c>
      <c r="I54" s="5">
        <v>3.9899999999999996E-3</v>
      </c>
      <c r="J54" s="5">
        <v>4.5700000000000003E-3</v>
      </c>
      <c r="K54" s="5">
        <v>5.1900000000000002E-3</v>
      </c>
      <c r="L54" s="5">
        <v>5.8500000000000002E-3</v>
      </c>
      <c r="M54" s="5">
        <v>6.5599999999999999E-3</v>
      </c>
      <c r="N54" s="5">
        <v>7.4099999999999999E-3</v>
      </c>
      <c r="O54" s="5">
        <v>8.3400000000000002E-3</v>
      </c>
      <c r="P54" s="5">
        <v>9.3299999999999998E-3</v>
      </c>
      <c r="Q54" s="5">
        <v>1.044E-2</v>
      </c>
      <c r="R54" s="5">
        <v>1.162E-2</v>
      </c>
      <c r="S54" s="5">
        <v>1.2840000000000001E-2</v>
      </c>
      <c r="T54" s="5">
        <v>1.4120000000000001E-2</v>
      </c>
      <c r="U54" s="5">
        <v>1.5570000000000001E-2</v>
      </c>
      <c r="V54" s="5">
        <v>1.7229999999999999E-2</v>
      </c>
      <c r="W54" s="5">
        <v>1.8839999999999999E-2</v>
      </c>
      <c r="X54" s="5">
        <v>2.0570000000000001E-2</v>
      </c>
      <c r="Y54" s="5">
        <v>2.249E-2</v>
      </c>
      <c r="Z54" s="5">
        <v>2.4479999999999998E-2</v>
      </c>
    </row>
    <row r="55" spans="1:26" x14ac:dyDescent="0.3">
      <c r="A55" s="5">
        <v>48</v>
      </c>
      <c r="B55" s="5">
        <v>6.2E-4</v>
      </c>
      <c r="C55" s="5">
        <v>1.0499999999999999E-3</v>
      </c>
      <c r="D55" s="5">
        <v>1.6299999999999999E-3</v>
      </c>
      <c r="E55" s="5">
        <v>2.1800000000000001E-3</v>
      </c>
      <c r="F55" s="5">
        <v>2.6199999999999999E-3</v>
      </c>
      <c r="G55" s="5">
        <v>3.1700000000000001E-3</v>
      </c>
      <c r="H55" s="5">
        <v>3.7699999999999999E-3</v>
      </c>
      <c r="I55" s="5">
        <v>4.3699999999999998E-3</v>
      </c>
      <c r="J55" s="5">
        <v>5.0099999999999997E-3</v>
      </c>
      <c r="K55" s="5">
        <v>5.7600000000000004E-3</v>
      </c>
      <c r="L55" s="5">
        <v>6.4900000000000001E-3</v>
      </c>
      <c r="M55" s="5">
        <v>7.2700000000000004E-3</v>
      </c>
      <c r="N55" s="5">
        <v>8.2199999999999999E-3</v>
      </c>
      <c r="O55" s="5">
        <v>9.2399999999999999E-3</v>
      </c>
      <c r="P55" s="5">
        <v>1.0330000000000001E-2</v>
      </c>
      <c r="Q55" s="5">
        <v>1.155E-2</v>
      </c>
      <c r="R55" s="5">
        <v>1.2840000000000001E-2</v>
      </c>
      <c r="S55" s="5">
        <v>1.4120000000000001E-2</v>
      </c>
      <c r="T55" s="5">
        <v>1.549E-2</v>
      </c>
      <c r="U55" s="5">
        <v>1.7080000000000001E-2</v>
      </c>
      <c r="V55" s="5">
        <v>1.8839999999999999E-2</v>
      </c>
      <c r="W55" s="5">
        <v>2.0570000000000001E-2</v>
      </c>
      <c r="X55" s="5">
        <v>2.249E-2</v>
      </c>
      <c r="Y55" s="5">
        <v>2.4479999999999998E-2</v>
      </c>
      <c r="Z55" s="5">
        <v>2.6550000000000001E-2</v>
      </c>
    </row>
    <row r="56" spans="1:26" x14ac:dyDescent="0.3">
      <c r="A56" s="5">
        <v>49</v>
      </c>
      <c r="B56" s="5">
        <v>6.7000000000000002E-4</v>
      </c>
      <c r="C56" s="5">
        <v>1.14E-3</v>
      </c>
      <c r="D56" s="5">
        <v>1.7899999999999999E-3</v>
      </c>
      <c r="E56" s="5">
        <v>2.4099999999999998E-3</v>
      </c>
      <c r="F56" s="5">
        <v>2.9099999999999998E-3</v>
      </c>
      <c r="G56" s="5">
        <v>3.5200000000000001E-3</v>
      </c>
      <c r="H56" s="5">
        <v>4.15E-3</v>
      </c>
      <c r="I56" s="5">
        <v>4.81E-3</v>
      </c>
      <c r="J56" s="5">
        <v>5.5700000000000003E-3</v>
      </c>
      <c r="K56" s="5">
        <v>6.4000000000000003E-3</v>
      </c>
      <c r="L56" s="5">
        <v>7.1999999999999998E-3</v>
      </c>
      <c r="M56" s="5">
        <v>8.0400000000000003E-3</v>
      </c>
      <c r="N56" s="5">
        <v>9.0900000000000009E-3</v>
      </c>
      <c r="O56" s="5">
        <v>1.021E-2</v>
      </c>
      <c r="P56" s="5">
        <v>1.14E-2</v>
      </c>
      <c r="Q56" s="5">
        <v>1.273E-2</v>
      </c>
      <c r="R56" s="5">
        <v>1.4120000000000001E-2</v>
      </c>
      <c r="S56" s="5">
        <v>1.5480000000000001E-2</v>
      </c>
      <c r="T56" s="5">
        <v>1.7000000000000001E-2</v>
      </c>
      <c r="U56" s="5">
        <v>1.864E-2</v>
      </c>
      <c r="V56" s="5">
        <v>2.0570000000000001E-2</v>
      </c>
      <c r="W56" s="5">
        <v>2.249E-2</v>
      </c>
      <c r="X56" s="5">
        <v>2.4479999999999998E-2</v>
      </c>
      <c r="Y56" s="5">
        <v>2.6550000000000001E-2</v>
      </c>
      <c r="Z56" s="5">
        <v>2.8809999999999999E-2</v>
      </c>
    </row>
    <row r="57" spans="1:26" x14ac:dyDescent="0.3">
      <c r="A57" s="5">
        <v>50</v>
      </c>
      <c r="B57" s="5">
        <v>7.2000000000000005E-4</v>
      </c>
      <c r="C57" s="5">
        <v>1.25E-3</v>
      </c>
      <c r="D57" s="5">
        <v>1.97E-3</v>
      </c>
      <c r="E57" s="5">
        <v>2.6700000000000001E-3</v>
      </c>
      <c r="F57" s="5">
        <v>3.2399999999999998E-3</v>
      </c>
      <c r="G57" s="5">
        <v>3.8999999999999998E-3</v>
      </c>
      <c r="H57" s="5">
        <v>4.5799999999999999E-3</v>
      </c>
      <c r="I57" s="5">
        <v>5.3400000000000001E-3</v>
      </c>
      <c r="J57" s="5">
        <v>6.1900000000000002E-3</v>
      </c>
      <c r="K57" s="5">
        <v>7.1199999999999996E-3</v>
      </c>
      <c r="L57" s="5">
        <v>7.9799999999999992E-3</v>
      </c>
      <c r="M57" s="5">
        <v>8.8999999999999999E-3</v>
      </c>
      <c r="N57" s="5">
        <v>1.005E-2</v>
      </c>
      <c r="O57" s="5">
        <v>1.128E-2</v>
      </c>
      <c r="P57" s="5">
        <v>1.257E-2</v>
      </c>
      <c r="Q57" s="5">
        <v>1.3990000000000001E-2</v>
      </c>
      <c r="R57" s="5">
        <v>1.5480000000000001E-2</v>
      </c>
      <c r="S57" s="5">
        <v>1.6990000000000002E-2</v>
      </c>
      <c r="T57" s="5">
        <v>1.8620000000000001E-2</v>
      </c>
      <c r="U57" s="5">
        <v>2.0299999999999999E-2</v>
      </c>
      <c r="V57" s="5">
        <v>2.249E-2</v>
      </c>
      <c r="W57" s="5">
        <v>2.4479999999999998E-2</v>
      </c>
      <c r="X57" s="5">
        <v>2.6550000000000001E-2</v>
      </c>
      <c r="Y57" s="5">
        <v>2.8809999999999999E-2</v>
      </c>
      <c r="Z57" s="5">
        <v>3.1280000000000002E-2</v>
      </c>
    </row>
    <row r="58" spans="1:26" x14ac:dyDescent="0.3">
      <c r="A58" s="5">
        <v>51</v>
      </c>
      <c r="B58" s="5">
        <v>7.6999999999999996E-4</v>
      </c>
      <c r="C58" s="5">
        <v>1.3600000000000001E-3</v>
      </c>
      <c r="D58" s="5">
        <v>2.1700000000000001E-3</v>
      </c>
      <c r="E58" s="5">
        <v>2.96E-3</v>
      </c>
      <c r="F58" s="5">
        <v>3.6099999999999999E-3</v>
      </c>
      <c r="G58" s="5">
        <v>4.3200000000000001E-3</v>
      </c>
      <c r="H58" s="5">
        <v>5.0899999999999999E-3</v>
      </c>
      <c r="I58" s="5">
        <v>5.9500000000000004E-3</v>
      </c>
      <c r="J58" s="5">
        <v>6.8900000000000003E-3</v>
      </c>
      <c r="K58" s="5">
        <v>7.9299999999999995E-3</v>
      </c>
      <c r="L58" s="5">
        <v>8.8699999999999994E-3</v>
      </c>
      <c r="M58" s="5">
        <v>9.9100000000000004E-3</v>
      </c>
      <c r="N58" s="5">
        <v>1.1129999999999999E-2</v>
      </c>
      <c r="O58" s="5">
        <v>1.2460000000000001E-2</v>
      </c>
      <c r="P58" s="5">
        <v>1.3849999999999999E-2</v>
      </c>
      <c r="Q58" s="5">
        <v>1.538E-2</v>
      </c>
      <c r="R58" s="5">
        <v>1.6969999999999999E-2</v>
      </c>
      <c r="S58" s="5">
        <v>1.8599999999999998E-2</v>
      </c>
      <c r="T58" s="5">
        <v>2.0289999999999999E-2</v>
      </c>
      <c r="U58" s="5">
        <v>2.213E-2</v>
      </c>
      <c r="V58" s="5">
        <v>2.4479999999999998E-2</v>
      </c>
      <c r="W58" s="5">
        <v>2.6550000000000001E-2</v>
      </c>
      <c r="X58" s="5">
        <v>2.8809999999999999E-2</v>
      </c>
      <c r="Y58" s="5">
        <v>3.1280000000000002E-2</v>
      </c>
      <c r="Z58" s="5">
        <v>3.4029999999999998E-2</v>
      </c>
    </row>
    <row r="59" spans="1:26" x14ac:dyDescent="0.3">
      <c r="A59" s="5">
        <v>52</v>
      </c>
      <c r="B59" s="5">
        <v>8.3000000000000001E-4</v>
      </c>
      <c r="C59" s="5">
        <v>1.49E-3</v>
      </c>
      <c r="D59" s="5">
        <v>2.3999999999999998E-3</v>
      </c>
      <c r="E59" s="5">
        <v>3.2799999999999999E-3</v>
      </c>
      <c r="F59" s="5">
        <v>4.0299999999999997E-3</v>
      </c>
      <c r="G59" s="5">
        <v>4.81E-3</v>
      </c>
      <c r="H59" s="5">
        <v>5.6800000000000002E-3</v>
      </c>
      <c r="I59" s="5">
        <v>6.62E-3</v>
      </c>
      <c r="J59" s="5">
        <v>7.6800000000000002E-3</v>
      </c>
      <c r="K59" s="5">
        <v>8.8299999999999993E-3</v>
      </c>
      <c r="L59" s="5">
        <v>9.8700000000000003E-3</v>
      </c>
      <c r="M59" s="5">
        <v>1.106E-2</v>
      </c>
      <c r="N59" s="5">
        <v>1.2330000000000001E-2</v>
      </c>
      <c r="O59" s="5">
        <v>1.3769999999999999E-2</v>
      </c>
      <c r="P59" s="5">
        <v>1.5299999999999999E-2</v>
      </c>
      <c r="Q59" s="5">
        <v>1.6920000000000001E-2</v>
      </c>
      <c r="R59" s="5">
        <v>1.8589999999999999E-2</v>
      </c>
      <c r="S59" s="5">
        <v>2.0279999999999999E-2</v>
      </c>
      <c r="T59" s="5">
        <v>2.2100000000000002E-2</v>
      </c>
      <c r="U59" s="5">
        <v>2.4080000000000001E-2</v>
      </c>
      <c r="V59" s="5">
        <v>2.6550000000000001E-2</v>
      </c>
      <c r="W59" s="5">
        <v>2.8809999999999999E-2</v>
      </c>
      <c r="X59" s="5">
        <v>3.1280000000000002E-2</v>
      </c>
      <c r="Y59" s="5">
        <v>3.4029999999999998E-2</v>
      </c>
      <c r="Z59" s="5">
        <v>3.7080000000000002E-2</v>
      </c>
    </row>
    <row r="60" spans="1:26" x14ac:dyDescent="0.3">
      <c r="A60" s="5">
        <v>53</v>
      </c>
      <c r="B60" s="5">
        <v>8.9999999999999998E-4</v>
      </c>
      <c r="C60" s="5">
        <v>1.6299999999999999E-3</v>
      </c>
      <c r="D60" s="5">
        <v>2.64E-3</v>
      </c>
      <c r="E60" s="5">
        <v>3.64E-3</v>
      </c>
      <c r="F60" s="5">
        <v>4.4900000000000001E-3</v>
      </c>
      <c r="G60" s="5">
        <v>5.3699999999999998E-3</v>
      </c>
      <c r="H60" s="5">
        <v>6.3299999999999997E-3</v>
      </c>
      <c r="I60" s="5">
        <v>7.3899999999999999E-3</v>
      </c>
      <c r="J60" s="5">
        <v>8.5599999999999999E-3</v>
      </c>
      <c r="K60" s="5">
        <v>9.8300000000000002E-3</v>
      </c>
      <c r="L60" s="5">
        <v>1.099E-2</v>
      </c>
      <c r="M60" s="5">
        <v>1.2290000000000001E-2</v>
      </c>
      <c r="N60" s="5">
        <v>1.3690000000000001E-2</v>
      </c>
      <c r="O60" s="5">
        <v>1.523E-2</v>
      </c>
      <c r="P60" s="5">
        <v>1.6879999999999999E-2</v>
      </c>
      <c r="Q60" s="5">
        <v>1.857E-2</v>
      </c>
      <c r="R60" s="5">
        <v>2.027E-2</v>
      </c>
      <c r="S60" s="5">
        <v>2.2069999999999999E-2</v>
      </c>
      <c r="T60" s="5">
        <v>2.4049999999999998E-2</v>
      </c>
      <c r="U60" s="5">
        <v>2.63E-2</v>
      </c>
      <c r="V60" s="5">
        <v>2.8809999999999999E-2</v>
      </c>
      <c r="W60" s="5">
        <v>3.1280000000000002E-2</v>
      </c>
      <c r="X60" s="5">
        <v>3.4029999999999998E-2</v>
      </c>
      <c r="Y60" s="5">
        <v>3.7080000000000002E-2</v>
      </c>
      <c r="Z60" s="5">
        <v>4.0460000000000003E-2</v>
      </c>
    </row>
    <row r="61" spans="1:26" x14ac:dyDescent="0.3">
      <c r="A61" s="5">
        <v>54</v>
      </c>
      <c r="B61" s="5">
        <v>9.7000000000000005E-4</v>
      </c>
      <c r="C61" s="5">
        <v>1.7899999999999999E-3</v>
      </c>
      <c r="D61" s="5">
        <v>2.9099999999999998E-3</v>
      </c>
      <c r="E61" s="5">
        <v>4.0400000000000002E-3</v>
      </c>
      <c r="F61" s="5">
        <v>5.0200000000000002E-3</v>
      </c>
      <c r="G61" s="5">
        <v>6.0000000000000001E-3</v>
      </c>
      <c r="H61" s="5">
        <v>7.0800000000000004E-3</v>
      </c>
      <c r="I61" s="5">
        <v>8.2500000000000004E-3</v>
      </c>
      <c r="J61" s="5">
        <v>9.5499999999999995E-3</v>
      </c>
      <c r="K61" s="5">
        <v>1.094E-2</v>
      </c>
      <c r="L61" s="5">
        <v>1.225E-2</v>
      </c>
      <c r="M61" s="5">
        <v>1.3639999999999999E-2</v>
      </c>
      <c r="N61" s="5">
        <v>1.52E-2</v>
      </c>
      <c r="O61" s="5">
        <v>1.6840000000000001E-2</v>
      </c>
      <c r="P61" s="5">
        <v>1.856E-2</v>
      </c>
      <c r="Q61" s="5">
        <v>2.026E-2</v>
      </c>
      <c r="R61" s="5">
        <v>2.2040000000000001E-2</v>
      </c>
      <c r="S61" s="5">
        <v>2.402E-2</v>
      </c>
      <c r="T61" s="5">
        <v>2.6239999999999999E-2</v>
      </c>
      <c r="U61" s="5">
        <v>2.8750000000000001E-2</v>
      </c>
      <c r="V61" s="5">
        <v>3.1280000000000002E-2</v>
      </c>
      <c r="W61" s="5">
        <v>3.4029999999999998E-2</v>
      </c>
      <c r="X61" s="5">
        <v>3.7080000000000002E-2</v>
      </c>
      <c r="Y61" s="5">
        <v>4.0460000000000003E-2</v>
      </c>
      <c r="Z61" s="5">
        <v>4.419E-2</v>
      </c>
    </row>
    <row r="62" spans="1:26" x14ac:dyDescent="0.3">
      <c r="A62" s="5">
        <v>55</v>
      </c>
      <c r="B62" s="5">
        <v>1.06E-3</v>
      </c>
      <c r="C62" s="5">
        <v>1.97E-3</v>
      </c>
      <c r="D62" s="5">
        <v>3.2200000000000002E-3</v>
      </c>
      <c r="E62" s="5">
        <v>4.4900000000000001E-3</v>
      </c>
      <c r="F62" s="5">
        <v>5.62E-3</v>
      </c>
      <c r="G62" s="5">
        <v>6.7099999999999998E-3</v>
      </c>
      <c r="H62" s="5">
        <v>7.92E-3</v>
      </c>
      <c r="I62" s="5">
        <v>9.2200000000000008E-3</v>
      </c>
      <c r="J62" s="5">
        <v>1.064E-2</v>
      </c>
      <c r="K62" s="5">
        <v>1.2160000000000001E-2</v>
      </c>
      <c r="L62" s="5">
        <v>1.362E-2</v>
      </c>
      <c r="M62" s="5">
        <v>1.5129999999999999E-2</v>
      </c>
      <c r="N62" s="5">
        <v>1.6820000000000002E-2</v>
      </c>
      <c r="O62" s="5">
        <v>1.8540000000000001E-2</v>
      </c>
      <c r="P62" s="5">
        <v>2.0250000000000001E-2</v>
      </c>
      <c r="Q62" s="5">
        <v>2.2009999999999998E-2</v>
      </c>
      <c r="R62" s="5">
        <v>2.3990000000000001E-2</v>
      </c>
      <c r="S62" s="5">
        <v>2.6210000000000001E-2</v>
      </c>
      <c r="T62" s="5">
        <v>2.862E-2</v>
      </c>
      <c r="U62" s="5">
        <v>3.1280000000000002E-2</v>
      </c>
      <c r="V62" s="5">
        <v>3.4029999999999998E-2</v>
      </c>
      <c r="W62" s="5">
        <v>3.7080000000000002E-2</v>
      </c>
      <c r="X62" s="5">
        <v>4.0460000000000003E-2</v>
      </c>
      <c r="Y62" s="5">
        <v>4.419E-2</v>
      </c>
      <c r="Z62" s="5">
        <v>4.8739999999999999E-2</v>
      </c>
    </row>
    <row r="63" spans="1:26" x14ac:dyDescent="0.3">
      <c r="A63" s="5">
        <v>56</v>
      </c>
      <c r="B63" s="5">
        <v>1.15E-3</v>
      </c>
      <c r="C63" s="5">
        <v>2.1700000000000001E-3</v>
      </c>
      <c r="D63" s="5">
        <v>3.5599999999999998E-3</v>
      </c>
      <c r="E63" s="5">
        <v>5.0000000000000001E-3</v>
      </c>
      <c r="F63" s="5">
        <v>6.3099999999999996E-3</v>
      </c>
      <c r="G63" s="5">
        <v>7.5300000000000002E-3</v>
      </c>
      <c r="H63" s="5">
        <v>8.8699999999999994E-3</v>
      </c>
      <c r="I63" s="5">
        <v>1.03E-2</v>
      </c>
      <c r="J63" s="5">
        <v>1.1849999999999999E-2</v>
      </c>
      <c r="K63" s="5">
        <v>1.35E-2</v>
      </c>
      <c r="L63" s="5">
        <v>1.507E-2</v>
      </c>
      <c r="M63" s="5">
        <v>1.669E-2</v>
      </c>
      <c r="N63" s="5">
        <v>1.847E-2</v>
      </c>
      <c r="O63" s="5">
        <v>2.0240000000000001E-2</v>
      </c>
      <c r="P63" s="5">
        <v>2.197E-2</v>
      </c>
      <c r="Q63" s="5">
        <v>2.3970000000000002E-2</v>
      </c>
      <c r="R63" s="5">
        <v>2.6179999999999998E-2</v>
      </c>
      <c r="S63" s="5">
        <v>2.8570000000000002E-2</v>
      </c>
      <c r="T63" s="5">
        <v>3.1109999999999999E-2</v>
      </c>
      <c r="U63" s="5">
        <v>3.4029999999999998E-2</v>
      </c>
      <c r="V63" s="5">
        <v>3.7080000000000002E-2</v>
      </c>
      <c r="W63" s="5">
        <v>4.0460000000000003E-2</v>
      </c>
      <c r="X63" s="5">
        <v>4.419E-2</v>
      </c>
      <c r="Y63" s="5">
        <v>4.8739999999999999E-2</v>
      </c>
      <c r="Z63" s="5">
        <v>5.4429999999999999E-2</v>
      </c>
    </row>
    <row r="64" spans="1:26" x14ac:dyDescent="0.3">
      <c r="A64" s="5">
        <v>57</v>
      </c>
      <c r="B64" s="5">
        <v>1.24E-3</v>
      </c>
      <c r="C64" s="5">
        <v>2.3900000000000002E-3</v>
      </c>
      <c r="D64" s="5">
        <v>3.9500000000000004E-3</v>
      </c>
      <c r="E64" s="5">
        <v>5.5799999999999999E-3</v>
      </c>
      <c r="F64" s="5">
        <v>7.1000000000000004E-3</v>
      </c>
      <c r="G64" s="5">
        <v>8.4499999999999992E-3</v>
      </c>
      <c r="H64" s="5">
        <v>9.92E-3</v>
      </c>
      <c r="I64" s="5">
        <v>1.149E-2</v>
      </c>
      <c r="J64" s="5">
        <v>1.3169999999999999E-2</v>
      </c>
      <c r="K64" s="5">
        <v>1.4930000000000001E-2</v>
      </c>
      <c r="L64" s="5">
        <v>1.6590000000000001E-2</v>
      </c>
      <c r="M64" s="5">
        <v>1.8280000000000001E-2</v>
      </c>
      <c r="N64" s="5">
        <v>2.01E-2</v>
      </c>
      <c r="O64" s="5">
        <v>2.1940000000000001E-2</v>
      </c>
      <c r="P64" s="5">
        <v>2.384E-2</v>
      </c>
      <c r="Q64" s="5">
        <v>2.6079999999999999E-2</v>
      </c>
      <c r="R64" s="5">
        <v>2.852E-2</v>
      </c>
      <c r="S64" s="5">
        <v>3.1060000000000001E-2</v>
      </c>
      <c r="T64" s="5">
        <v>3.3849999999999998E-2</v>
      </c>
      <c r="U64" s="5">
        <v>3.7080000000000002E-2</v>
      </c>
      <c r="V64" s="5">
        <v>4.0460000000000003E-2</v>
      </c>
      <c r="W64" s="5">
        <v>4.419E-2</v>
      </c>
      <c r="X64" s="5">
        <v>4.8739999999999999E-2</v>
      </c>
      <c r="Y64" s="5">
        <v>5.4429999999999999E-2</v>
      </c>
      <c r="Z64" s="5">
        <v>6.1019999999999998E-2</v>
      </c>
    </row>
    <row r="65" spans="1:26" x14ac:dyDescent="0.3">
      <c r="A65" s="5">
        <v>58</v>
      </c>
      <c r="B65" s="5">
        <v>1.3600000000000001E-3</v>
      </c>
      <c r="C65" s="5">
        <v>2.64E-3</v>
      </c>
      <c r="D65" s="5">
        <v>4.3800000000000002E-3</v>
      </c>
      <c r="E65" s="5">
        <v>6.2399999999999999E-3</v>
      </c>
      <c r="F65" s="5">
        <v>7.9900000000000006E-3</v>
      </c>
      <c r="G65" s="5">
        <v>9.4800000000000006E-3</v>
      </c>
      <c r="H65" s="5">
        <v>1.1089999999999999E-2</v>
      </c>
      <c r="I65" s="5">
        <v>1.2789999999999999E-2</v>
      </c>
      <c r="J65" s="5">
        <v>1.4590000000000001E-2</v>
      </c>
      <c r="K65" s="5">
        <v>1.6459999999999999E-2</v>
      </c>
      <c r="L65" s="5">
        <v>1.8200000000000001E-2</v>
      </c>
      <c r="M65" s="5">
        <v>1.9939999999999999E-2</v>
      </c>
      <c r="N65" s="5">
        <v>2.1870000000000001E-2</v>
      </c>
      <c r="O65" s="5">
        <v>2.3789999999999999E-2</v>
      </c>
      <c r="P65" s="5">
        <v>2.5899999999999999E-2</v>
      </c>
      <c r="Q65" s="5">
        <v>2.835E-2</v>
      </c>
      <c r="R65" s="5">
        <v>3.1019999999999999E-2</v>
      </c>
      <c r="S65" s="5">
        <v>3.3820000000000003E-2</v>
      </c>
      <c r="T65" s="5">
        <v>3.6909999999999998E-2</v>
      </c>
      <c r="U65" s="5">
        <v>4.0460000000000003E-2</v>
      </c>
      <c r="V65" s="5">
        <v>4.419E-2</v>
      </c>
      <c r="W65" s="5">
        <v>4.8739999999999999E-2</v>
      </c>
      <c r="X65" s="5">
        <v>5.4429999999999999E-2</v>
      </c>
      <c r="Y65" s="5">
        <v>6.1019999999999998E-2</v>
      </c>
      <c r="Z65" s="5">
        <v>6.8449999999999997E-2</v>
      </c>
    </row>
    <row r="66" spans="1:26" x14ac:dyDescent="0.3">
      <c r="A66" s="5">
        <v>59</v>
      </c>
      <c r="B66" s="5">
        <v>1.48E-3</v>
      </c>
      <c r="C66" s="5">
        <v>2.9199999999999999E-3</v>
      </c>
      <c r="D66" s="5">
        <v>4.8900000000000002E-3</v>
      </c>
      <c r="E66" s="5">
        <v>7.0000000000000001E-3</v>
      </c>
      <c r="F66" s="5">
        <v>8.9899999999999997E-3</v>
      </c>
      <c r="G66" s="5">
        <v>1.0619999999999999E-2</v>
      </c>
      <c r="H66" s="5">
        <v>1.2370000000000001E-2</v>
      </c>
      <c r="I66" s="5">
        <v>1.4189999999999999E-2</v>
      </c>
      <c r="J66" s="5">
        <v>1.6109999999999999E-2</v>
      </c>
      <c r="K66" s="5">
        <v>1.806E-2</v>
      </c>
      <c r="L66" s="5">
        <v>1.9879999999999998E-2</v>
      </c>
      <c r="M66" s="5">
        <v>2.1760000000000002E-2</v>
      </c>
      <c r="N66" s="5">
        <v>2.3709999999999998E-2</v>
      </c>
      <c r="O66" s="5">
        <v>2.5819999999999999E-2</v>
      </c>
      <c r="P66" s="5">
        <v>2.8199999999999999E-2</v>
      </c>
      <c r="Q66" s="5">
        <v>3.0890000000000001E-2</v>
      </c>
      <c r="R66" s="5">
        <v>3.3790000000000001E-2</v>
      </c>
      <c r="S66" s="5">
        <v>3.687E-2</v>
      </c>
      <c r="T66" s="5">
        <v>4.0280000000000003E-2</v>
      </c>
      <c r="U66" s="5">
        <v>4.419E-2</v>
      </c>
      <c r="V66" s="5">
        <v>4.8739999999999999E-2</v>
      </c>
      <c r="W66" s="5">
        <v>5.4429999999999999E-2</v>
      </c>
      <c r="X66" s="5">
        <v>6.1019999999999998E-2</v>
      </c>
      <c r="Y66" s="5">
        <v>6.8449999999999997E-2</v>
      </c>
      <c r="Z66" s="5">
        <v>7.639E-2</v>
      </c>
    </row>
    <row r="67" spans="1:26" x14ac:dyDescent="0.3">
      <c r="A67" s="5">
        <v>60</v>
      </c>
      <c r="B67" s="5">
        <v>1.6199999999999999E-3</v>
      </c>
      <c r="C67" s="5">
        <v>3.2499999999999999E-3</v>
      </c>
      <c r="D67" s="5">
        <v>5.4599999999999996E-3</v>
      </c>
      <c r="E67" s="5">
        <v>7.8499999999999993E-3</v>
      </c>
      <c r="F67" s="5">
        <v>1.0109999999999999E-2</v>
      </c>
      <c r="G67" s="5">
        <v>1.188E-2</v>
      </c>
      <c r="H67" s="5">
        <v>1.376E-2</v>
      </c>
      <c r="I67" s="5">
        <v>1.5699999999999999E-2</v>
      </c>
      <c r="J67" s="5">
        <v>1.771E-2</v>
      </c>
      <c r="K67" s="5">
        <v>1.9730000000000001E-2</v>
      </c>
      <c r="L67" s="5">
        <v>2.1700000000000001E-2</v>
      </c>
      <c r="M67" s="5">
        <v>2.3599999999999999E-2</v>
      </c>
      <c r="N67" s="5">
        <v>2.5669999999999998E-2</v>
      </c>
      <c r="O67" s="5">
        <v>2.81E-2</v>
      </c>
      <c r="P67" s="5">
        <v>3.0759999999999999E-2</v>
      </c>
      <c r="Q67" s="5">
        <v>3.3669999999999999E-2</v>
      </c>
      <c r="R67" s="5">
        <v>3.6819999999999999E-2</v>
      </c>
      <c r="S67" s="5">
        <v>4.0189999999999997E-2</v>
      </c>
      <c r="T67" s="5">
        <v>4.4019999999999997E-2</v>
      </c>
      <c r="U67" s="5">
        <v>4.8739999999999999E-2</v>
      </c>
      <c r="V67" s="5">
        <v>5.4429999999999999E-2</v>
      </c>
      <c r="W67" s="5">
        <v>6.1019999999999998E-2</v>
      </c>
      <c r="X67" s="5">
        <v>6.8449999999999997E-2</v>
      </c>
      <c r="Y67" s="5">
        <v>7.639E-2</v>
      </c>
      <c r="Z67" s="5">
        <v>8.4019999999999997E-2</v>
      </c>
    </row>
    <row r="68" spans="1:26" x14ac:dyDescent="0.3">
      <c r="A68" s="5">
        <v>61</v>
      </c>
      <c r="B68" s="5">
        <v>1.7799999999999999E-3</v>
      </c>
      <c r="C68" s="5">
        <v>3.62E-3</v>
      </c>
      <c r="D68" s="5">
        <v>6.1000000000000004E-3</v>
      </c>
      <c r="E68" s="5">
        <v>8.8100000000000001E-3</v>
      </c>
      <c r="F68" s="5">
        <v>1.136E-2</v>
      </c>
      <c r="G68" s="5">
        <v>1.3259999999999999E-2</v>
      </c>
      <c r="H68" s="5">
        <v>1.5259999999999999E-2</v>
      </c>
      <c r="I68" s="5">
        <v>1.7299999999999999E-2</v>
      </c>
      <c r="J68" s="5">
        <v>1.9369999999999998E-2</v>
      </c>
      <c r="K68" s="5">
        <v>2.154E-2</v>
      </c>
      <c r="L68" s="5">
        <v>2.3480000000000001E-2</v>
      </c>
      <c r="M68" s="5">
        <v>2.546E-2</v>
      </c>
      <c r="N68" s="5">
        <v>2.7900000000000001E-2</v>
      </c>
      <c r="O68" s="5">
        <v>3.0630000000000001E-2</v>
      </c>
      <c r="P68" s="5">
        <v>3.3509999999999998E-2</v>
      </c>
      <c r="Q68" s="5">
        <v>3.6630000000000003E-2</v>
      </c>
      <c r="R68" s="5">
        <v>4.011E-2</v>
      </c>
      <c r="S68" s="5">
        <v>4.3900000000000002E-2</v>
      </c>
      <c r="T68" s="5">
        <v>4.8660000000000002E-2</v>
      </c>
      <c r="U68" s="5">
        <v>5.4429999999999999E-2</v>
      </c>
      <c r="V68" s="5">
        <v>6.1019999999999998E-2</v>
      </c>
      <c r="W68" s="5">
        <v>6.8449999999999997E-2</v>
      </c>
      <c r="X68" s="5">
        <v>7.639E-2</v>
      </c>
      <c r="Y68" s="5">
        <v>8.4019999999999997E-2</v>
      </c>
      <c r="Z68" s="5">
        <v>9.3229999999999993E-2</v>
      </c>
    </row>
    <row r="69" spans="1:26" x14ac:dyDescent="0.3">
      <c r="A69" s="5">
        <v>62</v>
      </c>
      <c r="B69" s="5">
        <v>1.9599999999999999E-3</v>
      </c>
      <c r="C69" s="5">
        <v>4.0299999999999997E-3</v>
      </c>
      <c r="D69" s="5">
        <v>6.8399999999999997E-3</v>
      </c>
      <c r="E69" s="5">
        <v>9.9000000000000008E-3</v>
      </c>
      <c r="F69" s="5">
        <v>1.274E-2</v>
      </c>
      <c r="G69" s="5">
        <v>1.4760000000000001E-2</v>
      </c>
      <c r="H69" s="5">
        <v>1.686E-2</v>
      </c>
      <c r="I69" s="5">
        <v>1.8970000000000001E-2</v>
      </c>
      <c r="J69" s="5">
        <v>2.1190000000000001E-2</v>
      </c>
      <c r="K69" s="5">
        <v>2.3310000000000001E-2</v>
      </c>
      <c r="L69" s="5">
        <v>2.5260000000000001E-2</v>
      </c>
      <c r="M69" s="5">
        <v>2.7650000000000001E-2</v>
      </c>
      <c r="N69" s="5">
        <v>3.04E-2</v>
      </c>
      <c r="O69" s="5">
        <v>3.3320000000000002E-2</v>
      </c>
      <c r="P69" s="5">
        <v>3.6380000000000003E-2</v>
      </c>
      <c r="Q69" s="5">
        <v>3.9800000000000002E-2</v>
      </c>
      <c r="R69" s="5">
        <v>4.3740000000000001E-2</v>
      </c>
      <c r="S69" s="5">
        <v>4.8500000000000001E-2</v>
      </c>
      <c r="T69" s="5">
        <v>5.4429999999999999E-2</v>
      </c>
      <c r="U69" s="5">
        <v>6.1019999999999998E-2</v>
      </c>
      <c r="V69" s="5">
        <v>6.8449999999999997E-2</v>
      </c>
      <c r="W69" s="5">
        <v>7.639E-2</v>
      </c>
      <c r="X69" s="5">
        <v>8.4019999999999997E-2</v>
      </c>
      <c r="Y69" s="5">
        <v>9.3229999999999993E-2</v>
      </c>
      <c r="Z69" s="5">
        <v>0.10403</v>
      </c>
    </row>
    <row r="70" spans="1:26" x14ac:dyDescent="0.3">
      <c r="A70" s="5">
        <v>63</v>
      </c>
      <c r="B70" s="5">
        <v>2.16E-3</v>
      </c>
      <c r="C70" s="5">
        <v>4.4999999999999997E-3</v>
      </c>
      <c r="D70" s="5">
        <v>7.6699999999999997E-3</v>
      </c>
      <c r="E70" s="5">
        <v>1.112E-2</v>
      </c>
      <c r="F70" s="5">
        <v>1.423E-2</v>
      </c>
      <c r="G70" s="5">
        <v>1.636E-2</v>
      </c>
      <c r="H70" s="5">
        <v>1.8540000000000001E-2</v>
      </c>
      <c r="I70" s="5">
        <v>2.078E-2</v>
      </c>
      <c r="J70" s="5">
        <v>2.2950000000000002E-2</v>
      </c>
      <c r="K70" s="5">
        <v>2.5049999999999999E-2</v>
      </c>
      <c r="L70" s="5">
        <v>2.7359999999999999E-2</v>
      </c>
      <c r="M70" s="5">
        <v>3.0169999999999999E-2</v>
      </c>
      <c r="N70" s="5">
        <v>3.288E-2</v>
      </c>
      <c r="O70" s="5">
        <v>3.5909999999999997E-2</v>
      </c>
      <c r="P70" s="5">
        <v>3.9210000000000002E-2</v>
      </c>
      <c r="Q70" s="5">
        <v>4.3249999999999997E-2</v>
      </c>
      <c r="R70" s="5">
        <v>4.8250000000000001E-2</v>
      </c>
      <c r="S70" s="5">
        <v>5.432E-2</v>
      </c>
      <c r="T70" s="5">
        <v>6.1019999999999998E-2</v>
      </c>
      <c r="U70" s="5">
        <v>6.8449999999999997E-2</v>
      </c>
      <c r="V70" s="5">
        <v>7.639E-2</v>
      </c>
      <c r="W70" s="5">
        <v>8.4019999999999997E-2</v>
      </c>
      <c r="X70" s="5">
        <v>9.3229999999999993E-2</v>
      </c>
      <c r="Y70" s="5">
        <v>0.10403</v>
      </c>
      <c r="Z70" s="5">
        <v>0.11461</v>
      </c>
    </row>
    <row r="71" spans="1:26" x14ac:dyDescent="0.3">
      <c r="A71" s="5">
        <v>64</v>
      </c>
      <c r="B71" s="5">
        <v>2.3800000000000002E-3</v>
      </c>
      <c r="C71" s="5">
        <v>5.0099999999999997E-3</v>
      </c>
      <c r="D71" s="5">
        <v>8.6E-3</v>
      </c>
      <c r="E71" s="5">
        <v>1.248E-2</v>
      </c>
      <c r="F71" s="5">
        <v>1.583E-2</v>
      </c>
      <c r="G71" s="5">
        <v>1.805E-2</v>
      </c>
      <c r="H71" s="5">
        <v>2.034E-2</v>
      </c>
      <c r="I71" s="5">
        <v>2.2550000000000001E-2</v>
      </c>
      <c r="J71" s="5">
        <v>2.4670000000000001E-2</v>
      </c>
      <c r="K71" s="5">
        <v>2.7230000000000001E-2</v>
      </c>
      <c r="L71" s="5">
        <v>2.989E-2</v>
      </c>
      <c r="M71" s="5">
        <v>3.2739999999999998E-2</v>
      </c>
      <c r="N71" s="5">
        <v>3.5189999999999999E-2</v>
      </c>
      <c r="O71" s="5">
        <v>3.841E-2</v>
      </c>
      <c r="P71" s="5">
        <v>4.2209999999999998E-2</v>
      </c>
      <c r="Q71" s="5">
        <v>4.7539999999999999E-2</v>
      </c>
      <c r="R71" s="5">
        <v>5.3879999999999997E-2</v>
      </c>
      <c r="S71" s="5">
        <v>6.1019999999999998E-2</v>
      </c>
      <c r="T71" s="5">
        <v>6.8449999999999997E-2</v>
      </c>
      <c r="U71" s="5">
        <v>7.639E-2</v>
      </c>
      <c r="V71" s="5">
        <v>8.4019999999999997E-2</v>
      </c>
      <c r="W71" s="5">
        <v>9.3229999999999993E-2</v>
      </c>
      <c r="X71" s="5">
        <v>0.10403</v>
      </c>
      <c r="Y71" s="5">
        <v>0.11461</v>
      </c>
      <c r="Z71" s="5">
        <v>0.12598999999999999</v>
      </c>
    </row>
    <row r="72" spans="1:26" x14ac:dyDescent="0.3">
      <c r="A72" s="5">
        <v>65</v>
      </c>
      <c r="B72" s="5">
        <v>2.6199999999999999E-3</v>
      </c>
      <c r="C72" s="5">
        <v>5.5799999999999999E-3</v>
      </c>
      <c r="D72" s="5">
        <v>9.6399999999999993E-3</v>
      </c>
      <c r="E72" s="5">
        <v>1.3990000000000001E-2</v>
      </c>
      <c r="F72" s="5">
        <v>1.7520000000000001E-2</v>
      </c>
      <c r="G72" s="5">
        <v>1.983E-2</v>
      </c>
      <c r="H72" s="5">
        <v>2.2120000000000001E-2</v>
      </c>
      <c r="I72" s="5">
        <v>2.4240000000000001E-2</v>
      </c>
      <c r="J72" s="5">
        <v>2.682E-2</v>
      </c>
      <c r="K72" s="5">
        <v>2.9780000000000001E-2</v>
      </c>
      <c r="L72" s="5">
        <v>3.2599999999999997E-2</v>
      </c>
      <c r="M72" s="5">
        <v>3.5130000000000002E-2</v>
      </c>
      <c r="N72" s="5">
        <v>3.755E-2</v>
      </c>
      <c r="O72" s="5">
        <v>4.1309999999999999E-2</v>
      </c>
      <c r="P72" s="5">
        <v>4.6129999999999997E-2</v>
      </c>
      <c r="Q72" s="5">
        <v>5.3010000000000002E-2</v>
      </c>
      <c r="R72" s="5">
        <v>6.071E-2</v>
      </c>
      <c r="S72" s="5">
        <v>6.8449999999999997E-2</v>
      </c>
      <c r="T72" s="5">
        <v>7.639E-2</v>
      </c>
      <c r="U72" s="5">
        <v>8.4019999999999997E-2</v>
      </c>
      <c r="V72" s="5">
        <v>9.3229999999999993E-2</v>
      </c>
      <c r="W72" s="5">
        <v>0.10403</v>
      </c>
      <c r="X72" s="5">
        <v>0.11461</v>
      </c>
      <c r="Y72" s="5">
        <v>0.12598999999999999</v>
      </c>
      <c r="Z72" s="5">
        <v>0.13797999999999999</v>
      </c>
    </row>
    <row r="73" spans="1:26" x14ac:dyDescent="0.3">
      <c r="A73" s="5">
        <v>66</v>
      </c>
      <c r="B73" s="5">
        <v>2.8800000000000002E-3</v>
      </c>
      <c r="C73" s="5">
        <v>6.1900000000000002E-3</v>
      </c>
      <c r="D73" s="5">
        <v>1.082E-2</v>
      </c>
      <c r="E73" s="5">
        <v>1.566E-2</v>
      </c>
      <c r="F73" s="5">
        <v>1.9279999999999999E-2</v>
      </c>
      <c r="G73" s="5">
        <v>2.1610000000000001E-2</v>
      </c>
      <c r="H73" s="5">
        <v>2.3800000000000002E-2</v>
      </c>
      <c r="I73" s="5">
        <v>2.6360000000000001E-2</v>
      </c>
      <c r="J73" s="5">
        <v>2.938E-2</v>
      </c>
      <c r="K73" s="5">
        <v>3.2460000000000003E-2</v>
      </c>
      <c r="L73" s="5">
        <v>3.5069999999999997E-2</v>
      </c>
      <c r="M73" s="5">
        <v>3.7429999999999998E-2</v>
      </c>
      <c r="N73" s="5">
        <v>4.0779999999999997E-2</v>
      </c>
      <c r="O73" s="5">
        <v>4.5620000000000001E-2</v>
      </c>
      <c r="P73" s="5">
        <v>5.2060000000000002E-2</v>
      </c>
      <c r="Q73" s="5">
        <v>6.0089999999999998E-2</v>
      </c>
      <c r="R73" s="5">
        <v>6.8449999999999997E-2</v>
      </c>
      <c r="S73" s="5">
        <v>7.639E-2</v>
      </c>
      <c r="T73" s="5">
        <v>8.4019999999999997E-2</v>
      </c>
      <c r="U73" s="5">
        <v>9.3229999999999993E-2</v>
      </c>
      <c r="V73" s="5">
        <v>0.10403</v>
      </c>
      <c r="W73" s="5">
        <v>0.11461</v>
      </c>
      <c r="X73" s="5">
        <v>0.12598999999999999</v>
      </c>
      <c r="Y73" s="5">
        <v>0.13797999999999999</v>
      </c>
      <c r="Z73" s="5">
        <v>0.15026</v>
      </c>
    </row>
    <row r="74" spans="1:26" x14ac:dyDescent="0.3">
      <c r="A74" s="5">
        <v>67</v>
      </c>
      <c r="B74" s="5">
        <v>3.16E-3</v>
      </c>
      <c r="C74" s="5">
        <v>6.8599999999999998E-3</v>
      </c>
      <c r="D74" s="5">
        <v>1.2149999999999999E-2</v>
      </c>
      <c r="E74" s="5">
        <v>1.7520000000000001E-2</v>
      </c>
      <c r="F74" s="5">
        <v>2.1090000000000001E-2</v>
      </c>
      <c r="G74" s="5">
        <v>2.3310000000000001E-2</v>
      </c>
      <c r="H74" s="5">
        <v>2.5909999999999999E-2</v>
      </c>
      <c r="I74" s="5">
        <v>2.896E-2</v>
      </c>
      <c r="J74" s="5">
        <v>3.2079999999999997E-2</v>
      </c>
      <c r="K74" s="5">
        <v>3.5000000000000003E-2</v>
      </c>
      <c r="L74" s="5">
        <v>3.7319999999999999E-2</v>
      </c>
      <c r="M74" s="5">
        <v>4.0640000000000003E-2</v>
      </c>
      <c r="N74" s="5">
        <v>4.5530000000000001E-2</v>
      </c>
      <c r="O74" s="5">
        <v>5.1889999999999999E-2</v>
      </c>
      <c r="P74" s="5">
        <v>5.9819999999999998E-2</v>
      </c>
      <c r="Q74" s="5">
        <v>6.8129999999999996E-2</v>
      </c>
      <c r="R74" s="5">
        <v>7.639E-2</v>
      </c>
      <c r="S74" s="5">
        <v>8.4019999999999997E-2</v>
      </c>
      <c r="T74" s="5">
        <v>9.3229999999999993E-2</v>
      </c>
      <c r="U74" s="5">
        <v>0.10403</v>
      </c>
      <c r="V74" s="5">
        <v>0.11461</v>
      </c>
      <c r="W74" s="5">
        <v>0.12598999999999999</v>
      </c>
      <c r="X74" s="5">
        <v>0.13797999999999999</v>
      </c>
      <c r="Y74" s="5">
        <v>0.15026</v>
      </c>
      <c r="Z74" s="5">
        <v>0.16273000000000001</v>
      </c>
    </row>
    <row r="75" spans="1:26" x14ac:dyDescent="0.3">
      <c r="A75" s="5">
        <v>68</v>
      </c>
      <c r="B75" s="5">
        <v>3.48E-3</v>
      </c>
      <c r="C75" s="5">
        <v>7.5799999999999999E-3</v>
      </c>
      <c r="D75" s="5">
        <v>1.3639999999999999E-2</v>
      </c>
      <c r="E75" s="5">
        <v>1.9560000000000001E-2</v>
      </c>
      <c r="F75" s="5">
        <v>2.2800000000000001E-2</v>
      </c>
      <c r="G75" s="5">
        <v>2.5399999999999999E-2</v>
      </c>
      <c r="H75" s="5">
        <v>2.8539999999999999E-2</v>
      </c>
      <c r="I75" s="5">
        <v>3.168E-2</v>
      </c>
      <c r="J75" s="5">
        <v>3.4549999999999997E-2</v>
      </c>
      <c r="K75" s="5">
        <v>3.7199999999999997E-2</v>
      </c>
      <c r="L75" s="5">
        <v>4.0500000000000001E-2</v>
      </c>
      <c r="M75" s="5">
        <v>4.5440000000000001E-2</v>
      </c>
      <c r="N75" s="5">
        <v>5.1720000000000002E-2</v>
      </c>
      <c r="O75" s="5">
        <v>5.9560000000000002E-2</v>
      </c>
      <c r="P75" s="5">
        <v>6.7799999999999999E-2</v>
      </c>
      <c r="Q75" s="5">
        <v>7.5950000000000004E-2</v>
      </c>
      <c r="R75" s="5">
        <v>8.4019999999999997E-2</v>
      </c>
      <c r="S75" s="5">
        <v>9.3229999999999993E-2</v>
      </c>
      <c r="T75" s="5">
        <v>0.10403</v>
      </c>
      <c r="U75" s="5">
        <v>0.11461</v>
      </c>
      <c r="V75" s="5">
        <v>0.12598999999999999</v>
      </c>
      <c r="W75" s="5">
        <v>0.13797999999999999</v>
      </c>
      <c r="X75" s="5">
        <v>0.15026</v>
      </c>
      <c r="Y75" s="5">
        <v>0.16273000000000001</v>
      </c>
      <c r="Z75" s="5">
        <v>0.17551</v>
      </c>
    </row>
    <row r="76" spans="1:26" x14ac:dyDescent="0.3">
      <c r="A76" s="5">
        <v>69</v>
      </c>
      <c r="B76" s="5">
        <v>3.81E-3</v>
      </c>
      <c r="C76" s="5">
        <v>8.3599999999999994E-3</v>
      </c>
      <c r="D76" s="5">
        <v>1.5310000000000001E-2</v>
      </c>
      <c r="E76" s="5">
        <v>2.179E-2</v>
      </c>
      <c r="F76" s="5">
        <v>2.4850000000000001E-2</v>
      </c>
      <c r="G76" s="5">
        <v>2.8039999999999999E-2</v>
      </c>
      <c r="H76" s="5">
        <v>3.124E-2</v>
      </c>
      <c r="I76" s="5">
        <v>3.4020000000000002E-2</v>
      </c>
      <c r="J76" s="5">
        <v>3.6830000000000002E-2</v>
      </c>
      <c r="K76" s="5">
        <v>4.0399999999999998E-2</v>
      </c>
      <c r="L76" s="5">
        <v>4.5350000000000001E-2</v>
      </c>
      <c r="M76" s="5">
        <v>5.1549999999999999E-2</v>
      </c>
      <c r="N76" s="5">
        <v>5.9290000000000002E-2</v>
      </c>
      <c r="O76" s="5">
        <v>6.7479999999999998E-2</v>
      </c>
      <c r="P76" s="5">
        <v>7.5509999999999994E-2</v>
      </c>
      <c r="Q76" s="5">
        <v>8.3750000000000005E-2</v>
      </c>
      <c r="R76" s="5">
        <v>9.3229999999999993E-2</v>
      </c>
      <c r="S76" s="5">
        <v>0.10403</v>
      </c>
      <c r="T76" s="5">
        <v>0.11461</v>
      </c>
      <c r="U76" s="5">
        <v>0.12598999999999999</v>
      </c>
      <c r="V76" s="5">
        <v>0.13797999999999999</v>
      </c>
      <c r="W76" s="5">
        <v>0.15026</v>
      </c>
      <c r="X76" s="5">
        <v>0.16273000000000001</v>
      </c>
      <c r="Y76" s="5">
        <v>0.17551</v>
      </c>
      <c r="Z76" s="5">
        <v>0.18804999999999999</v>
      </c>
    </row>
    <row r="77" spans="1:26" x14ac:dyDescent="0.3">
      <c r="A77" s="5">
        <v>70</v>
      </c>
      <c r="B77" s="5">
        <v>4.1799999999999997E-3</v>
      </c>
      <c r="C77" s="5">
        <v>9.1800000000000007E-3</v>
      </c>
      <c r="D77" s="5">
        <v>1.7180000000000001E-2</v>
      </c>
      <c r="E77" s="5">
        <v>2.4230000000000002E-2</v>
      </c>
      <c r="F77" s="5">
        <v>2.75E-2</v>
      </c>
      <c r="G77" s="5">
        <v>3.0720000000000001E-2</v>
      </c>
      <c r="H77" s="5">
        <v>3.3439999999999998E-2</v>
      </c>
      <c r="I77" s="5">
        <v>3.6089999999999997E-2</v>
      </c>
      <c r="J77" s="5">
        <v>3.9910000000000001E-2</v>
      </c>
      <c r="K77" s="5">
        <v>4.5170000000000002E-2</v>
      </c>
      <c r="L77" s="5">
        <v>5.1380000000000002E-2</v>
      </c>
      <c r="M77" s="5">
        <v>5.9020000000000003E-2</v>
      </c>
      <c r="N77" s="5">
        <v>6.7150000000000001E-2</v>
      </c>
      <c r="O77" s="5">
        <v>7.5069999999999998E-2</v>
      </c>
      <c r="P77" s="5">
        <v>8.3159999999999998E-2</v>
      </c>
      <c r="Q77" s="5">
        <v>9.3229999999999993E-2</v>
      </c>
      <c r="R77" s="5">
        <v>0.10403</v>
      </c>
      <c r="S77" s="5">
        <v>0.11461</v>
      </c>
      <c r="T77" s="5">
        <v>0.12598999999999999</v>
      </c>
      <c r="U77" s="5">
        <v>0.13797999999999999</v>
      </c>
      <c r="V77" s="5">
        <v>0.15026</v>
      </c>
      <c r="W77" s="5">
        <v>0.16273000000000001</v>
      </c>
      <c r="X77" s="5">
        <v>0.17551</v>
      </c>
      <c r="Y77" s="5">
        <v>0.18804999999999999</v>
      </c>
      <c r="Z77" s="5">
        <v>0.20027</v>
      </c>
    </row>
    <row r="78" spans="1:26" x14ac:dyDescent="0.3">
      <c r="A78" s="5">
        <v>71</v>
      </c>
      <c r="B78" s="5">
        <v>4.5799999999999999E-3</v>
      </c>
      <c r="C78" s="5">
        <v>1.008E-2</v>
      </c>
      <c r="D78" s="5">
        <v>1.9259999999999999E-2</v>
      </c>
      <c r="E78" s="5">
        <v>2.6890000000000001E-2</v>
      </c>
      <c r="F78" s="5">
        <v>3.015E-2</v>
      </c>
      <c r="G78" s="5">
        <v>3.2770000000000001E-2</v>
      </c>
      <c r="H78" s="5">
        <v>3.526E-2</v>
      </c>
      <c r="I78" s="5">
        <v>3.9019999999999999E-2</v>
      </c>
      <c r="J78" s="5">
        <v>4.4299999999999999E-2</v>
      </c>
      <c r="K78" s="5">
        <v>5.0819999999999997E-2</v>
      </c>
      <c r="L78" s="5">
        <v>5.8569999999999997E-2</v>
      </c>
      <c r="M78" s="5">
        <v>6.6830000000000001E-2</v>
      </c>
      <c r="N78" s="5">
        <v>7.4630000000000002E-2</v>
      </c>
      <c r="O78" s="5">
        <v>8.2570000000000005E-2</v>
      </c>
      <c r="P78" s="5">
        <v>9.2200000000000004E-2</v>
      </c>
      <c r="Q78" s="5">
        <v>0.10403</v>
      </c>
      <c r="R78" s="5">
        <v>0.11461</v>
      </c>
      <c r="S78" s="5">
        <v>0.12598999999999999</v>
      </c>
      <c r="T78" s="5">
        <v>0.13797999999999999</v>
      </c>
      <c r="U78" s="5">
        <v>0.15026</v>
      </c>
      <c r="V78" s="5">
        <v>0.16273000000000001</v>
      </c>
      <c r="W78" s="5">
        <v>0.17551</v>
      </c>
      <c r="X78" s="5">
        <v>0.18804999999999999</v>
      </c>
      <c r="Y78" s="5">
        <v>0.20027</v>
      </c>
      <c r="Z78" s="5">
        <v>0.21401000000000001</v>
      </c>
    </row>
    <row r="79" spans="1:26" x14ac:dyDescent="0.3">
      <c r="A79" s="5">
        <v>72</v>
      </c>
      <c r="B79" s="5">
        <v>5.0200000000000002E-3</v>
      </c>
      <c r="C79" s="5">
        <v>1.1050000000000001E-2</v>
      </c>
      <c r="D79" s="5">
        <v>2.155E-2</v>
      </c>
      <c r="E79" s="5">
        <v>2.9510000000000002E-2</v>
      </c>
      <c r="F79" s="5">
        <v>3.2030000000000003E-2</v>
      </c>
      <c r="G79" s="5">
        <v>3.4320000000000003E-2</v>
      </c>
      <c r="H79" s="5">
        <v>3.8010000000000002E-2</v>
      </c>
      <c r="I79" s="5">
        <v>4.3270000000000003E-2</v>
      </c>
      <c r="J79" s="5">
        <v>4.9739999999999999E-2</v>
      </c>
      <c r="K79" s="5">
        <v>5.7660000000000003E-2</v>
      </c>
      <c r="L79" s="5">
        <v>6.6299999999999998E-2</v>
      </c>
      <c r="M79" s="5">
        <v>7.3639999999999997E-2</v>
      </c>
      <c r="N79" s="5">
        <v>8.1979999999999997E-2</v>
      </c>
      <c r="O79" s="5">
        <v>9.1450000000000004E-2</v>
      </c>
      <c r="P79" s="5">
        <v>0.10328</v>
      </c>
      <c r="Q79" s="5">
        <v>0.11461</v>
      </c>
      <c r="R79" s="5">
        <v>0.12598999999999999</v>
      </c>
      <c r="S79" s="5">
        <v>0.13797999999999999</v>
      </c>
      <c r="T79" s="5">
        <v>0.15026</v>
      </c>
      <c r="U79" s="5">
        <v>0.16273000000000001</v>
      </c>
      <c r="V79" s="5">
        <v>0.17551</v>
      </c>
      <c r="W79" s="5">
        <v>0.18804999999999999</v>
      </c>
      <c r="X79" s="5">
        <v>0.20027</v>
      </c>
      <c r="Y79" s="5">
        <v>0.21401000000000001</v>
      </c>
      <c r="Z79" s="5">
        <v>0.22982</v>
      </c>
    </row>
    <row r="80" spans="1:26" x14ac:dyDescent="0.3">
      <c r="A80" s="5">
        <v>73</v>
      </c>
      <c r="B80" s="5">
        <v>5.4999999999999997E-3</v>
      </c>
      <c r="C80" s="5">
        <v>1.213E-2</v>
      </c>
      <c r="D80" s="5">
        <v>2.4070000000000001E-2</v>
      </c>
      <c r="E80" s="5">
        <v>3.1220000000000001E-2</v>
      </c>
      <c r="F80" s="5">
        <v>3.329E-2</v>
      </c>
      <c r="G80" s="5">
        <v>3.6900000000000002E-2</v>
      </c>
      <c r="H80" s="5">
        <v>4.2119999999999998E-2</v>
      </c>
      <c r="I80" s="5">
        <v>4.8500000000000001E-2</v>
      </c>
      <c r="J80" s="5">
        <v>5.6340000000000001E-2</v>
      </c>
      <c r="K80" s="5">
        <v>6.5210000000000004E-2</v>
      </c>
      <c r="L80" s="5">
        <v>7.3270000000000002E-2</v>
      </c>
      <c r="M80" s="5">
        <v>8.0180000000000001E-2</v>
      </c>
      <c r="N80" s="5">
        <v>8.9609999999999995E-2</v>
      </c>
      <c r="O80" s="5">
        <v>0.10272000000000001</v>
      </c>
      <c r="P80" s="5">
        <v>0.11461</v>
      </c>
      <c r="Q80" s="5">
        <v>0.12598999999999999</v>
      </c>
      <c r="R80" s="5">
        <v>0.13797999999999999</v>
      </c>
      <c r="S80" s="5">
        <v>0.15026</v>
      </c>
      <c r="T80" s="5">
        <v>0.16273000000000001</v>
      </c>
      <c r="U80" s="5">
        <v>0.17551</v>
      </c>
      <c r="V80" s="5">
        <v>0.18804999999999999</v>
      </c>
      <c r="W80" s="5">
        <v>0.20027</v>
      </c>
      <c r="X80" s="5">
        <v>0.21401000000000001</v>
      </c>
      <c r="Y80" s="5">
        <v>0.22982</v>
      </c>
      <c r="Z80" s="5">
        <v>0.24626999999999999</v>
      </c>
    </row>
    <row r="81" spans="1:26" x14ac:dyDescent="0.3">
      <c r="A81" s="5">
        <v>74</v>
      </c>
      <c r="B81" s="5">
        <v>6.0499999999999998E-3</v>
      </c>
      <c r="C81" s="5">
        <v>1.3339999999999999E-2</v>
      </c>
      <c r="D81" s="5">
        <v>2.682E-2</v>
      </c>
      <c r="E81" s="5">
        <v>3.2199999999999999E-2</v>
      </c>
      <c r="F81" s="5">
        <v>3.5700000000000003E-2</v>
      </c>
      <c r="G81" s="5">
        <v>4.0869999999999997E-2</v>
      </c>
      <c r="H81" s="5">
        <v>4.7140000000000001E-2</v>
      </c>
      <c r="I81" s="5">
        <v>5.4850000000000003E-2</v>
      </c>
      <c r="J81" s="5">
        <v>6.2390000000000001E-2</v>
      </c>
      <c r="K81" s="5">
        <v>7.2499999999999995E-2</v>
      </c>
      <c r="L81" s="5">
        <v>7.9799999999999996E-2</v>
      </c>
      <c r="M81" s="5">
        <v>8.8499999999999995E-2</v>
      </c>
      <c r="N81" s="5">
        <v>0.10102</v>
      </c>
      <c r="O81" s="5">
        <v>0.11422</v>
      </c>
      <c r="P81" s="5">
        <v>0.12598999999999999</v>
      </c>
      <c r="Q81" s="5">
        <v>0.13797999999999999</v>
      </c>
      <c r="R81" s="5">
        <v>0.15026</v>
      </c>
      <c r="S81" s="5">
        <v>0.16273000000000001</v>
      </c>
      <c r="T81" s="5">
        <v>0.17551</v>
      </c>
      <c r="U81" s="5">
        <v>0.18804999999999999</v>
      </c>
      <c r="V81" s="5">
        <v>0.20027</v>
      </c>
      <c r="W81" s="5">
        <v>0.21401000000000001</v>
      </c>
      <c r="X81" s="5">
        <v>0.22982</v>
      </c>
      <c r="Y81" s="5">
        <v>0.24626999999999999</v>
      </c>
      <c r="Z81" s="5">
        <v>0.26304</v>
      </c>
    </row>
    <row r="82" spans="1:26" x14ac:dyDescent="0.3">
      <c r="A82" s="5">
        <v>75</v>
      </c>
      <c r="B82" s="5">
        <v>6.6600000000000001E-3</v>
      </c>
      <c r="C82" s="5">
        <v>1.47E-2</v>
      </c>
      <c r="D82" s="5">
        <v>2.929E-2</v>
      </c>
      <c r="E82" s="5">
        <v>3.4419999999999999E-2</v>
      </c>
      <c r="F82" s="5">
        <v>3.9530000000000003E-2</v>
      </c>
      <c r="G82" s="5">
        <v>4.5659999999999999E-2</v>
      </c>
      <c r="H82" s="5">
        <v>5.3190000000000001E-2</v>
      </c>
      <c r="I82" s="5">
        <v>6.0830000000000002E-2</v>
      </c>
      <c r="J82" s="5">
        <v>6.8220000000000003E-2</v>
      </c>
      <c r="K82" s="5">
        <v>7.9409999999999994E-2</v>
      </c>
      <c r="L82" s="5">
        <v>8.8200000000000001E-2</v>
      </c>
      <c r="M82" s="5">
        <v>0.10085</v>
      </c>
      <c r="N82" s="5">
        <v>0.11389000000000001</v>
      </c>
      <c r="O82" s="5">
        <v>0.12544</v>
      </c>
      <c r="P82" s="5">
        <v>0.13797999999999999</v>
      </c>
      <c r="Q82" s="5">
        <v>0.15026</v>
      </c>
      <c r="R82" s="5">
        <v>0.16273000000000001</v>
      </c>
      <c r="S82" s="5">
        <v>0.17551</v>
      </c>
      <c r="T82" s="5">
        <v>0.18804999999999999</v>
      </c>
      <c r="U82" s="5">
        <v>0.20027</v>
      </c>
      <c r="V82" s="5">
        <v>0.21401000000000001</v>
      </c>
      <c r="W82" s="5">
        <v>0.22982</v>
      </c>
      <c r="X82" s="5">
        <v>0.24626999999999999</v>
      </c>
      <c r="Y82" s="5">
        <v>0.26304</v>
      </c>
      <c r="Z82" s="5">
        <v>0.27966000000000002</v>
      </c>
    </row>
    <row r="83" spans="1:26" x14ac:dyDescent="0.3">
      <c r="A83" s="5">
        <v>76</v>
      </c>
      <c r="B83" s="5">
        <v>7.3600000000000002E-3</v>
      </c>
      <c r="C83" s="5">
        <v>1.6219999999999998E-2</v>
      </c>
      <c r="D83" s="5">
        <v>3.141E-2</v>
      </c>
      <c r="E83" s="5">
        <v>3.8100000000000002E-2</v>
      </c>
      <c r="F83" s="5">
        <v>4.4060000000000002E-2</v>
      </c>
      <c r="G83" s="5">
        <v>5.1360000000000003E-2</v>
      </c>
      <c r="H83" s="5">
        <v>5.917E-2</v>
      </c>
      <c r="I83" s="5">
        <v>6.6669999999999993E-2</v>
      </c>
      <c r="J83" s="5">
        <v>7.4990000000000001E-2</v>
      </c>
      <c r="K83" s="5">
        <v>8.7900000000000006E-2</v>
      </c>
      <c r="L83" s="5">
        <v>0.10068000000000001</v>
      </c>
      <c r="M83" s="5">
        <v>0.11337999999999999</v>
      </c>
      <c r="N83" s="5">
        <v>0.12486999999999999</v>
      </c>
      <c r="O83" s="5">
        <v>0.13766999999999999</v>
      </c>
      <c r="P83" s="5">
        <v>0.15026</v>
      </c>
      <c r="Q83" s="5">
        <v>0.16273000000000001</v>
      </c>
      <c r="R83" s="5">
        <v>0.17551</v>
      </c>
      <c r="S83" s="5">
        <v>0.18804999999999999</v>
      </c>
      <c r="T83" s="5">
        <v>0.20027</v>
      </c>
      <c r="U83" s="5">
        <v>0.21401000000000001</v>
      </c>
      <c r="V83" s="5">
        <v>0.22982</v>
      </c>
      <c r="W83" s="5">
        <v>0.24626999999999999</v>
      </c>
      <c r="X83" s="5">
        <v>0.26304</v>
      </c>
      <c r="Y83" s="5">
        <v>0.27966000000000002</v>
      </c>
      <c r="Z83" s="5">
        <v>0.29920999999999998</v>
      </c>
    </row>
    <row r="84" spans="1:26" x14ac:dyDescent="0.3">
      <c r="A84" s="5">
        <v>77</v>
      </c>
      <c r="B84" s="5">
        <v>8.1600000000000006E-3</v>
      </c>
      <c r="C84" s="5">
        <v>1.7940000000000001E-2</v>
      </c>
      <c r="D84" s="5">
        <v>3.3680000000000002E-2</v>
      </c>
      <c r="E84" s="5">
        <v>4.2340000000000003E-2</v>
      </c>
      <c r="F84" s="5">
        <v>4.9360000000000001E-2</v>
      </c>
      <c r="G84" s="5">
        <v>5.7959999999999998E-2</v>
      </c>
      <c r="H84" s="5">
        <v>6.5119999999999997E-2</v>
      </c>
      <c r="I84" s="5">
        <v>7.331E-2</v>
      </c>
      <c r="J84" s="5">
        <v>8.2989999999999994E-2</v>
      </c>
      <c r="K84" s="5">
        <v>9.9409999999999998E-2</v>
      </c>
      <c r="L84" s="5">
        <v>0.11278000000000001</v>
      </c>
      <c r="M84" s="5">
        <v>0.12379999999999999</v>
      </c>
      <c r="N84" s="5">
        <v>0.13691</v>
      </c>
      <c r="O84" s="5">
        <v>0.15026</v>
      </c>
      <c r="P84" s="5">
        <v>0.16273000000000001</v>
      </c>
      <c r="Q84" s="5">
        <v>0.17551</v>
      </c>
      <c r="R84" s="5">
        <v>0.18804999999999999</v>
      </c>
      <c r="S84" s="5">
        <v>0.20027</v>
      </c>
      <c r="T84" s="5">
        <v>0.21401000000000001</v>
      </c>
      <c r="U84" s="5">
        <v>0.22982</v>
      </c>
      <c r="V84" s="5">
        <v>0.24626999999999999</v>
      </c>
      <c r="W84" s="5">
        <v>0.26304</v>
      </c>
      <c r="X84" s="5">
        <v>0.27966000000000002</v>
      </c>
      <c r="Y84" s="5">
        <v>0.29920999999999998</v>
      </c>
      <c r="Z84" s="5">
        <v>0.32313999999999998</v>
      </c>
    </row>
    <row r="85" spans="1:26" x14ac:dyDescent="0.3">
      <c r="A85" s="5">
        <v>78</v>
      </c>
      <c r="B85" s="5">
        <v>9.0600000000000003E-3</v>
      </c>
      <c r="C85" s="5">
        <v>1.9859999999999999E-2</v>
      </c>
      <c r="D85" s="5">
        <v>3.6150000000000002E-2</v>
      </c>
      <c r="E85" s="5">
        <v>4.7199999999999999E-2</v>
      </c>
      <c r="F85" s="5">
        <v>5.6169999999999998E-2</v>
      </c>
      <c r="G85" s="5">
        <v>6.4100000000000004E-2</v>
      </c>
      <c r="H85" s="5">
        <v>7.1639999999999995E-2</v>
      </c>
      <c r="I85" s="5">
        <v>8.1110000000000002E-2</v>
      </c>
      <c r="J85" s="5">
        <v>9.3210000000000001E-2</v>
      </c>
      <c r="K85" s="5">
        <v>0.11082</v>
      </c>
      <c r="L85" s="5">
        <v>0.12257</v>
      </c>
      <c r="M85" s="5">
        <v>0.13553000000000001</v>
      </c>
      <c r="N85" s="5">
        <v>0.14976999999999999</v>
      </c>
      <c r="O85" s="5">
        <v>0.16273000000000001</v>
      </c>
      <c r="P85" s="5">
        <v>0.17551</v>
      </c>
      <c r="Q85" s="5">
        <v>0.18804999999999999</v>
      </c>
      <c r="R85" s="5">
        <v>0.20027</v>
      </c>
      <c r="S85" s="5">
        <v>0.21401000000000001</v>
      </c>
      <c r="T85" s="5">
        <v>0.22982</v>
      </c>
      <c r="U85" s="5">
        <v>0.24626999999999999</v>
      </c>
      <c r="V85" s="5">
        <v>0.26304</v>
      </c>
      <c r="W85" s="5">
        <v>0.27966000000000002</v>
      </c>
      <c r="X85" s="5">
        <v>0.29920999999999998</v>
      </c>
      <c r="Y85" s="5">
        <v>0.32313999999999998</v>
      </c>
      <c r="Z85" s="5">
        <v>0.34698000000000001</v>
      </c>
    </row>
    <row r="86" spans="1:26" x14ac:dyDescent="0.3">
      <c r="A86" s="5">
        <v>79</v>
      </c>
      <c r="B86" s="5">
        <v>1.008E-2</v>
      </c>
      <c r="C86" s="5">
        <v>2.2069999999999999E-2</v>
      </c>
      <c r="D86" s="5">
        <v>3.8850000000000003E-2</v>
      </c>
      <c r="E86" s="5">
        <v>5.3039999999999997E-2</v>
      </c>
      <c r="F86" s="5">
        <v>6.3289999999999999E-2</v>
      </c>
      <c r="G86" s="5">
        <v>6.9860000000000005E-2</v>
      </c>
      <c r="H86" s="5">
        <v>7.9229999999999995E-2</v>
      </c>
      <c r="I86" s="5">
        <v>9.1670000000000001E-2</v>
      </c>
      <c r="J86" s="5">
        <v>0.10314</v>
      </c>
      <c r="K86" s="5">
        <v>0.12101000000000001</v>
      </c>
      <c r="L86" s="5">
        <v>0.13378999999999999</v>
      </c>
      <c r="M86" s="5">
        <v>0.14896000000000001</v>
      </c>
      <c r="N86" s="5">
        <v>0.16273000000000001</v>
      </c>
      <c r="O86" s="5">
        <v>0.17551</v>
      </c>
      <c r="P86" s="5">
        <v>0.18804999999999999</v>
      </c>
      <c r="Q86" s="5">
        <v>0.20027</v>
      </c>
      <c r="R86" s="5">
        <v>0.21401000000000001</v>
      </c>
      <c r="S86" s="5">
        <v>0.22982</v>
      </c>
      <c r="T86" s="5">
        <v>0.24626999999999999</v>
      </c>
      <c r="U86" s="5">
        <v>0.26304</v>
      </c>
      <c r="V86" s="5">
        <v>0.27966000000000002</v>
      </c>
      <c r="W86" s="5">
        <v>0.29920999999999998</v>
      </c>
      <c r="X86" s="5">
        <v>0.32313999999999998</v>
      </c>
      <c r="Y86" s="5">
        <v>0.34698000000000001</v>
      </c>
      <c r="Z86" s="5">
        <v>0.37036000000000002</v>
      </c>
    </row>
    <row r="87" spans="1:26" x14ac:dyDescent="0.3">
      <c r="A87" s="5">
        <v>80</v>
      </c>
      <c r="B87" s="5">
        <v>1.128E-2</v>
      </c>
      <c r="C87" s="5">
        <v>2.462E-2</v>
      </c>
      <c r="D87" s="5">
        <v>4.1980000000000003E-2</v>
      </c>
      <c r="E87" s="5">
        <v>5.8380000000000001E-2</v>
      </c>
      <c r="F87" s="5">
        <v>6.8949999999999997E-2</v>
      </c>
      <c r="G87" s="5">
        <v>7.7229999999999993E-2</v>
      </c>
      <c r="H87" s="5">
        <v>8.8020000000000001E-2</v>
      </c>
      <c r="I87" s="5">
        <v>0.10201</v>
      </c>
      <c r="J87" s="5">
        <v>0.11212999999999999</v>
      </c>
      <c r="K87" s="5">
        <v>0.13142000000000001</v>
      </c>
      <c r="L87" s="5">
        <v>0.14712</v>
      </c>
      <c r="M87" s="5">
        <v>0.16273000000000001</v>
      </c>
      <c r="N87" s="5">
        <v>0.17551</v>
      </c>
      <c r="O87" s="5">
        <v>0.18804999999999999</v>
      </c>
      <c r="P87" s="5">
        <v>0.20027</v>
      </c>
      <c r="Q87" s="5">
        <v>0.21401000000000001</v>
      </c>
      <c r="R87" s="5">
        <v>0.22982</v>
      </c>
      <c r="S87" s="5">
        <v>0.24626999999999999</v>
      </c>
      <c r="T87" s="5">
        <v>0.26304</v>
      </c>
      <c r="U87" s="5">
        <v>0.27966000000000002</v>
      </c>
      <c r="V87" s="5">
        <v>0.29920999999999998</v>
      </c>
      <c r="W87" s="5">
        <v>0.32313999999999998</v>
      </c>
      <c r="X87" s="5">
        <v>0.34698000000000001</v>
      </c>
      <c r="Y87" s="5">
        <v>0.37036000000000002</v>
      </c>
      <c r="Z87" s="5">
        <v>0.39291999999999999</v>
      </c>
    </row>
    <row r="88" spans="1:26" x14ac:dyDescent="0.3">
      <c r="A88" s="5">
        <v>81</v>
      </c>
      <c r="B88" s="5">
        <v>1.2670000000000001E-2</v>
      </c>
      <c r="C88" s="5">
        <v>2.7459999999999998E-2</v>
      </c>
      <c r="D88" s="5">
        <v>4.5580000000000002E-2</v>
      </c>
      <c r="E88" s="5">
        <v>6.2570000000000001E-2</v>
      </c>
      <c r="F88" s="5">
        <v>7.4139999999999998E-2</v>
      </c>
      <c r="G88" s="5">
        <v>8.5059999999999997E-2</v>
      </c>
      <c r="H88" s="5">
        <v>9.6280000000000004E-2</v>
      </c>
      <c r="I88" s="5">
        <v>0.11025</v>
      </c>
      <c r="J88" s="5">
        <v>0.12449</v>
      </c>
      <c r="K88" s="5">
        <v>0.14410000000000001</v>
      </c>
      <c r="L88" s="5">
        <v>0.16192000000000001</v>
      </c>
      <c r="M88" s="5">
        <v>0.17551</v>
      </c>
      <c r="N88" s="5">
        <v>0.18804999999999999</v>
      </c>
      <c r="O88" s="5">
        <v>0.20027</v>
      </c>
      <c r="P88" s="5">
        <v>0.21401000000000001</v>
      </c>
      <c r="Q88" s="5">
        <v>0.22982</v>
      </c>
      <c r="R88" s="5">
        <v>0.24626999999999999</v>
      </c>
      <c r="S88" s="5">
        <v>0.26304</v>
      </c>
      <c r="T88" s="5">
        <v>0.27966000000000002</v>
      </c>
      <c r="U88" s="5">
        <v>0.29920999999999998</v>
      </c>
      <c r="V88" s="5">
        <v>0.32313999999999998</v>
      </c>
      <c r="W88" s="5">
        <v>0.34698000000000001</v>
      </c>
      <c r="X88" s="5">
        <v>0.37036000000000002</v>
      </c>
      <c r="Y88" s="5">
        <v>0.39291999999999999</v>
      </c>
      <c r="Z88" s="5">
        <v>0.4143</v>
      </c>
    </row>
    <row r="89" spans="1:26" x14ac:dyDescent="0.3">
      <c r="A89" s="5">
        <v>82</v>
      </c>
      <c r="B89" s="5">
        <v>1.4250000000000001E-2</v>
      </c>
      <c r="C89" s="5">
        <v>3.065E-2</v>
      </c>
      <c r="D89" s="5">
        <v>4.9509999999999998E-2</v>
      </c>
      <c r="E89" s="5">
        <v>6.6960000000000006E-2</v>
      </c>
      <c r="F89" s="5">
        <v>7.9689999999999997E-2</v>
      </c>
      <c r="G89" s="5">
        <v>9.2020000000000005E-2</v>
      </c>
      <c r="H89" s="5">
        <v>0.1033</v>
      </c>
      <c r="I89" s="5">
        <v>0.12103</v>
      </c>
      <c r="J89" s="5">
        <v>0.13997999999999999</v>
      </c>
      <c r="K89" s="5">
        <v>0.16031000000000001</v>
      </c>
      <c r="L89" s="5">
        <v>0.17551</v>
      </c>
      <c r="M89" s="5">
        <v>0.18804999999999999</v>
      </c>
      <c r="N89" s="5">
        <v>0.20027</v>
      </c>
      <c r="O89" s="5">
        <v>0.21401000000000001</v>
      </c>
      <c r="P89" s="5">
        <v>0.22982</v>
      </c>
      <c r="Q89" s="5">
        <v>0.24626999999999999</v>
      </c>
      <c r="R89" s="5">
        <v>0.26304</v>
      </c>
      <c r="S89" s="5">
        <v>0.27966000000000002</v>
      </c>
      <c r="T89" s="5">
        <v>0.29920999999999998</v>
      </c>
      <c r="U89" s="5">
        <v>0.32313999999999998</v>
      </c>
      <c r="V89" s="5">
        <v>0.34698000000000001</v>
      </c>
      <c r="W89" s="5">
        <v>0.37036000000000002</v>
      </c>
      <c r="X89" s="5">
        <v>0.39291999999999999</v>
      </c>
      <c r="Y89" s="5">
        <v>0.4143</v>
      </c>
      <c r="Z89" s="5">
        <v>0.43413000000000002</v>
      </c>
    </row>
    <row r="90" spans="1:26" x14ac:dyDescent="0.3">
      <c r="A90" s="5">
        <v>83</v>
      </c>
      <c r="B90" s="5">
        <v>1.6039999999999999E-2</v>
      </c>
      <c r="C90" s="5">
        <v>3.4229999999999997E-2</v>
      </c>
      <c r="D90" s="5">
        <v>5.373E-2</v>
      </c>
      <c r="E90" s="5">
        <v>7.1529999999999996E-2</v>
      </c>
      <c r="F90" s="5">
        <v>8.5470000000000004E-2</v>
      </c>
      <c r="G90" s="5">
        <v>9.8299999999999998E-2</v>
      </c>
      <c r="H90" s="5">
        <v>0.11334</v>
      </c>
      <c r="I90" s="5">
        <v>0.13475999999999999</v>
      </c>
      <c r="J90" s="5">
        <v>0.15790000000000001</v>
      </c>
      <c r="K90" s="5">
        <v>0.17551</v>
      </c>
      <c r="L90" s="5">
        <v>0.18804999999999999</v>
      </c>
      <c r="M90" s="5">
        <v>0.20027</v>
      </c>
      <c r="N90" s="5">
        <v>0.21401000000000001</v>
      </c>
      <c r="O90" s="5">
        <v>0.22982</v>
      </c>
      <c r="P90" s="5">
        <v>0.24626999999999999</v>
      </c>
      <c r="Q90" s="5">
        <v>0.26304</v>
      </c>
      <c r="R90" s="5">
        <v>0.27966000000000002</v>
      </c>
      <c r="S90" s="5">
        <v>0.29920999999999998</v>
      </c>
      <c r="T90" s="5">
        <v>0.32313999999999998</v>
      </c>
      <c r="U90" s="5">
        <v>0.34698000000000001</v>
      </c>
      <c r="V90" s="5">
        <v>0.37036000000000002</v>
      </c>
      <c r="W90" s="5">
        <v>0.39291999999999999</v>
      </c>
      <c r="X90" s="5">
        <v>0.4143</v>
      </c>
      <c r="Y90" s="5">
        <v>0.43413000000000002</v>
      </c>
      <c r="Z90" s="5">
        <v>0.45205000000000001</v>
      </c>
    </row>
    <row r="91" spans="1:26" x14ac:dyDescent="0.3">
      <c r="A91" s="5">
        <v>84</v>
      </c>
      <c r="B91" s="5">
        <v>1.8100000000000002E-2</v>
      </c>
      <c r="C91" s="5">
        <v>3.8240000000000003E-2</v>
      </c>
      <c r="D91" s="5">
        <v>5.8250000000000003E-2</v>
      </c>
      <c r="E91" s="5">
        <v>7.6189999999999994E-2</v>
      </c>
      <c r="F91" s="5">
        <v>9.0999999999999998E-2</v>
      </c>
      <c r="G91" s="5">
        <v>0.10646</v>
      </c>
      <c r="H91" s="5">
        <v>0.12726000000000001</v>
      </c>
      <c r="I91" s="5">
        <v>0.15293000000000001</v>
      </c>
      <c r="J91" s="5">
        <v>0.17551</v>
      </c>
      <c r="K91" s="5">
        <v>0.18804999999999999</v>
      </c>
      <c r="L91" s="5">
        <v>0.20027</v>
      </c>
      <c r="M91" s="5">
        <v>0.21401000000000001</v>
      </c>
      <c r="N91" s="5">
        <v>0.22982</v>
      </c>
      <c r="O91" s="5">
        <v>0.24626999999999999</v>
      </c>
      <c r="P91" s="5">
        <v>0.26304</v>
      </c>
      <c r="Q91" s="5">
        <v>0.27966000000000002</v>
      </c>
      <c r="R91" s="5">
        <v>0.29920999999999998</v>
      </c>
      <c r="S91" s="5">
        <v>0.32313999999999998</v>
      </c>
      <c r="T91" s="5">
        <v>0.34698000000000001</v>
      </c>
      <c r="U91" s="5">
        <v>0.37036000000000002</v>
      </c>
      <c r="V91" s="5">
        <v>0.39291999999999999</v>
      </c>
      <c r="W91" s="5">
        <v>0.4143</v>
      </c>
      <c r="X91" s="5">
        <v>0.43413000000000002</v>
      </c>
      <c r="Y91" s="5">
        <v>0.45205000000000001</v>
      </c>
      <c r="Z91" s="5">
        <v>0.46768999999999999</v>
      </c>
    </row>
    <row r="92" spans="1:26" x14ac:dyDescent="0.3">
      <c r="A92" s="5">
        <v>85</v>
      </c>
      <c r="B92" s="5">
        <v>2.0449999999999999E-2</v>
      </c>
      <c r="C92" s="5">
        <v>4.267E-2</v>
      </c>
      <c r="D92" s="5">
        <v>6.2969999999999998E-2</v>
      </c>
      <c r="E92" s="5">
        <v>8.0750000000000002E-2</v>
      </c>
      <c r="F92" s="5">
        <v>9.7360000000000002E-2</v>
      </c>
      <c r="G92" s="5">
        <v>0.11722</v>
      </c>
      <c r="H92" s="5">
        <v>0.14538999999999999</v>
      </c>
      <c r="I92" s="5">
        <v>0.17341999999999999</v>
      </c>
      <c r="J92" s="5">
        <v>0.18804999999999999</v>
      </c>
      <c r="K92" s="5">
        <v>0.20027</v>
      </c>
      <c r="L92" s="5">
        <v>0.21401000000000001</v>
      </c>
      <c r="M92" s="5">
        <v>0.22982</v>
      </c>
      <c r="N92" s="5">
        <v>0.24626999999999999</v>
      </c>
      <c r="O92" s="5">
        <v>0.26304</v>
      </c>
      <c r="P92" s="5">
        <v>0.27966000000000002</v>
      </c>
      <c r="Q92" s="5">
        <v>0.29920999999999998</v>
      </c>
      <c r="R92" s="5">
        <v>0.32313999999999998</v>
      </c>
      <c r="S92" s="5">
        <v>0.34698000000000001</v>
      </c>
      <c r="T92" s="5">
        <v>0.37036000000000002</v>
      </c>
      <c r="U92" s="5">
        <v>0.39291999999999999</v>
      </c>
      <c r="V92" s="5">
        <v>0.4143</v>
      </c>
      <c r="W92" s="5">
        <v>0.43413000000000002</v>
      </c>
      <c r="X92" s="5">
        <v>0.45205000000000001</v>
      </c>
      <c r="Y92" s="5">
        <v>0.46768999999999999</v>
      </c>
      <c r="Z92" s="5">
        <v>0.48068</v>
      </c>
    </row>
    <row r="93" spans="1:26" x14ac:dyDescent="0.3">
      <c r="A93" s="5">
        <v>86</v>
      </c>
      <c r="B93" s="5">
        <v>2.3099999999999999E-2</v>
      </c>
      <c r="C93" s="5">
        <v>4.7539999999999999E-2</v>
      </c>
      <c r="D93" s="5">
        <v>6.7739999999999995E-2</v>
      </c>
      <c r="E93" s="5">
        <v>8.5019999999999998E-2</v>
      </c>
      <c r="F93" s="5">
        <v>0.10535</v>
      </c>
      <c r="G93" s="5">
        <v>0.13394</v>
      </c>
      <c r="H93" s="5">
        <v>0.16928000000000001</v>
      </c>
      <c r="I93" s="5">
        <v>0.18804999999999999</v>
      </c>
      <c r="J93" s="5">
        <v>0.20027</v>
      </c>
      <c r="K93" s="5">
        <v>0.21401000000000001</v>
      </c>
      <c r="L93" s="5">
        <v>0.22982</v>
      </c>
      <c r="M93" s="5">
        <v>0.24626999999999999</v>
      </c>
      <c r="N93" s="5">
        <v>0.26304</v>
      </c>
      <c r="O93" s="5">
        <v>0.27966000000000002</v>
      </c>
      <c r="P93" s="5">
        <v>0.29920999999999998</v>
      </c>
      <c r="Q93" s="5">
        <v>0.32313999999999998</v>
      </c>
      <c r="R93" s="5">
        <v>0.34698000000000001</v>
      </c>
      <c r="S93" s="5">
        <v>0.37036000000000002</v>
      </c>
      <c r="T93" s="5">
        <v>0.39291999999999999</v>
      </c>
      <c r="U93" s="5">
        <v>0.4143</v>
      </c>
      <c r="V93" s="5">
        <v>0.43413000000000002</v>
      </c>
      <c r="W93" s="5">
        <v>0.45205000000000001</v>
      </c>
      <c r="X93" s="5">
        <v>0.46768999999999999</v>
      </c>
      <c r="Y93" s="5">
        <v>0.48068</v>
      </c>
      <c r="Z93" s="5">
        <v>0.49064999999999998</v>
      </c>
    </row>
    <row r="94" spans="1:26" x14ac:dyDescent="0.3">
      <c r="A94" s="5">
        <v>87</v>
      </c>
      <c r="B94" s="5">
        <v>2.6089999999999999E-2</v>
      </c>
      <c r="C94" s="5">
        <v>5.2830000000000002E-2</v>
      </c>
      <c r="D94" s="5">
        <v>7.238E-2</v>
      </c>
      <c r="E94" s="5">
        <v>9.1329999999999995E-2</v>
      </c>
      <c r="F94" s="5">
        <v>0.11983000000000001</v>
      </c>
      <c r="G94" s="5">
        <v>0.16314000000000001</v>
      </c>
      <c r="H94" s="5">
        <v>0.18804999999999999</v>
      </c>
      <c r="I94" s="5">
        <v>0.20027</v>
      </c>
      <c r="J94" s="5">
        <v>0.21401000000000001</v>
      </c>
      <c r="K94" s="5">
        <v>0.22982</v>
      </c>
      <c r="L94" s="5">
        <v>0.24626999999999999</v>
      </c>
      <c r="M94" s="5">
        <v>0.26304</v>
      </c>
      <c r="N94" s="5">
        <v>0.27966000000000002</v>
      </c>
      <c r="O94" s="5">
        <v>0.29920999999999998</v>
      </c>
      <c r="P94" s="5">
        <v>0.32313999999999998</v>
      </c>
      <c r="Q94" s="5">
        <v>0.34698000000000001</v>
      </c>
      <c r="R94" s="5">
        <v>0.37036000000000002</v>
      </c>
      <c r="S94" s="5">
        <v>0.39291999999999999</v>
      </c>
      <c r="T94" s="5">
        <v>0.4143</v>
      </c>
      <c r="U94" s="5">
        <v>0.43413000000000002</v>
      </c>
      <c r="V94" s="5">
        <v>0.45205000000000001</v>
      </c>
      <c r="W94" s="5">
        <v>0.46768999999999999</v>
      </c>
      <c r="X94" s="5">
        <v>0.48068</v>
      </c>
      <c r="Y94" s="5">
        <v>0.49064999999999998</v>
      </c>
      <c r="Z94" s="5">
        <v>0.49723000000000001</v>
      </c>
    </row>
    <row r="95" spans="1:26" x14ac:dyDescent="0.3">
      <c r="A95" s="5">
        <v>88</v>
      </c>
      <c r="B95" s="5">
        <v>2.9420000000000002E-2</v>
      </c>
      <c r="C95" s="5">
        <v>5.8479999999999997E-2</v>
      </c>
      <c r="D95" s="5">
        <v>7.6810000000000003E-2</v>
      </c>
      <c r="E95" s="5">
        <v>0.10351</v>
      </c>
      <c r="F95" s="5">
        <v>0.14713999999999999</v>
      </c>
      <c r="G95" s="5">
        <v>0.18804999999999999</v>
      </c>
      <c r="H95" s="5">
        <v>0.20027</v>
      </c>
      <c r="I95" s="5">
        <v>0.21401000000000001</v>
      </c>
      <c r="J95" s="5">
        <v>0.22982</v>
      </c>
      <c r="K95" s="5">
        <v>0.24626999999999999</v>
      </c>
      <c r="L95" s="5">
        <v>0.26304</v>
      </c>
      <c r="M95" s="5">
        <v>0.27966000000000002</v>
      </c>
      <c r="N95" s="5">
        <v>0.29920999999999998</v>
      </c>
      <c r="O95" s="5">
        <v>0.32313999999999998</v>
      </c>
      <c r="P95" s="5">
        <v>0.34698000000000001</v>
      </c>
      <c r="Q95" s="5">
        <v>0.37036000000000002</v>
      </c>
      <c r="R95" s="5">
        <v>0.39291999999999999</v>
      </c>
      <c r="S95" s="5">
        <v>0.4143</v>
      </c>
      <c r="T95" s="5">
        <v>0.43413000000000002</v>
      </c>
      <c r="U95" s="5">
        <v>0.45205000000000001</v>
      </c>
      <c r="V95" s="5">
        <v>0.46768999999999999</v>
      </c>
      <c r="W95" s="5">
        <v>0.48068</v>
      </c>
      <c r="X95" s="5">
        <v>0.49064999999999998</v>
      </c>
      <c r="Y95" s="5">
        <v>0.49723000000000001</v>
      </c>
      <c r="Z95" s="5">
        <v>0.5</v>
      </c>
    </row>
    <row r="96" spans="1:26" x14ac:dyDescent="0.3">
      <c r="A96" s="5">
        <v>89</v>
      </c>
      <c r="B96" s="5">
        <v>3.3079999999999998E-2</v>
      </c>
      <c r="C96" s="5">
        <v>6.4369999999999997E-2</v>
      </c>
      <c r="D96" s="5">
        <v>8.3739999999999995E-2</v>
      </c>
      <c r="E96" s="5">
        <v>0.12112000000000001</v>
      </c>
      <c r="F96" s="5">
        <v>0.17882999999999999</v>
      </c>
      <c r="G96" s="5">
        <v>0.20027</v>
      </c>
      <c r="H96" s="5">
        <v>0.21401000000000001</v>
      </c>
      <c r="I96" s="5">
        <v>0.22982</v>
      </c>
      <c r="J96" s="5">
        <v>0.24626999999999999</v>
      </c>
      <c r="K96" s="5">
        <v>0.26304</v>
      </c>
      <c r="L96" s="5">
        <v>0.27966000000000002</v>
      </c>
      <c r="M96" s="5">
        <v>0.29920999999999998</v>
      </c>
      <c r="N96" s="5">
        <v>0.32313999999999998</v>
      </c>
      <c r="O96" s="5">
        <v>0.34698000000000001</v>
      </c>
      <c r="P96" s="5">
        <v>0.37036000000000002</v>
      </c>
      <c r="Q96" s="5">
        <v>0.39291999999999999</v>
      </c>
      <c r="R96" s="5">
        <v>0.4143</v>
      </c>
      <c r="S96" s="5">
        <v>0.43413000000000002</v>
      </c>
      <c r="T96" s="5">
        <v>0.45205000000000001</v>
      </c>
      <c r="U96" s="5">
        <v>0.46768999999999999</v>
      </c>
      <c r="V96" s="5">
        <v>0.48068</v>
      </c>
      <c r="W96" s="5">
        <v>0.49064999999999998</v>
      </c>
      <c r="X96" s="5">
        <v>0.49723000000000001</v>
      </c>
      <c r="Y96" s="5">
        <v>0.5</v>
      </c>
      <c r="Z96" s="5">
        <v>0.5</v>
      </c>
    </row>
    <row r="97" spans="1:26" x14ac:dyDescent="0.3">
      <c r="A97" s="5">
        <v>90</v>
      </c>
      <c r="B97" s="5">
        <v>3.8030000000000001E-2</v>
      </c>
      <c r="C97" s="5">
        <v>6.8709999999999993E-2</v>
      </c>
      <c r="D97" s="5">
        <v>0.10202</v>
      </c>
      <c r="E97" s="5">
        <v>0.16089000000000001</v>
      </c>
      <c r="F97" s="5">
        <v>0.20027</v>
      </c>
      <c r="G97" s="5">
        <v>0.21401000000000001</v>
      </c>
      <c r="H97" s="5">
        <v>0.22982</v>
      </c>
      <c r="I97" s="5">
        <v>0.24626999999999999</v>
      </c>
      <c r="J97" s="5">
        <v>0.26304</v>
      </c>
      <c r="K97" s="5">
        <v>0.27966000000000002</v>
      </c>
      <c r="L97" s="5">
        <v>0.29920999999999998</v>
      </c>
      <c r="M97" s="5">
        <v>0.32313999999999998</v>
      </c>
      <c r="N97" s="5">
        <v>0.34698000000000001</v>
      </c>
      <c r="O97" s="5">
        <v>0.37036000000000002</v>
      </c>
      <c r="P97" s="5">
        <v>0.39291999999999999</v>
      </c>
      <c r="Q97" s="5">
        <v>0.4143</v>
      </c>
      <c r="R97" s="5">
        <v>0.43413000000000002</v>
      </c>
      <c r="S97" s="5">
        <v>0.45205000000000001</v>
      </c>
      <c r="T97" s="5">
        <v>0.46768999999999999</v>
      </c>
      <c r="U97" s="5">
        <v>0.48068</v>
      </c>
      <c r="V97" s="5">
        <v>0.49064999999999998</v>
      </c>
      <c r="W97" s="5">
        <v>0.49723000000000001</v>
      </c>
      <c r="X97" s="5">
        <v>0.5</v>
      </c>
      <c r="Y97" s="5">
        <v>0.5</v>
      </c>
      <c r="Z97" s="5">
        <v>0.5</v>
      </c>
    </row>
    <row r="98" spans="1:26" x14ac:dyDescent="0.3">
      <c r="A98" s="5">
        <v>91</v>
      </c>
      <c r="B98" s="5">
        <v>4.6100000000000002E-2</v>
      </c>
      <c r="C98" s="5">
        <v>8.5220000000000004E-2</v>
      </c>
      <c r="D98" s="5">
        <v>0.15321000000000001</v>
      </c>
      <c r="E98" s="5">
        <v>0.20027</v>
      </c>
      <c r="F98" s="5">
        <v>0.21401000000000001</v>
      </c>
      <c r="G98" s="5">
        <v>0.22982</v>
      </c>
      <c r="H98" s="5">
        <v>0.24626999999999999</v>
      </c>
      <c r="I98" s="5">
        <v>0.26304</v>
      </c>
      <c r="J98" s="5">
        <v>0.27966000000000002</v>
      </c>
      <c r="K98" s="5">
        <v>0.29920999999999998</v>
      </c>
      <c r="L98" s="5">
        <v>0.32313999999999998</v>
      </c>
      <c r="M98" s="5">
        <v>0.34698000000000001</v>
      </c>
      <c r="N98" s="5">
        <v>0.37036000000000002</v>
      </c>
      <c r="O98" s="5">
        <v>0.39291999999999999</v>
      </c>
      <c r="P98" s="5">
        <v>0.4143</v>
      </c>
      <c r="Q98" s="5">
        <v>0.43413000000000002</v>
      </c>
      <c r="R98" s="5">
        <v>0.45205000000000001</v>
      </c>
      <c r="S98" s="5">
        <v>0.46768999999999999</v>
      </c>
      <c r="T98" s="5">
        <v>0.48068</v>
      </c>
      <c r="U98" s="5">
        <v>0.49064999999999998</v>
      </c>
      <c r="V98" s="5">
        <v>0.49723000000000001</v>
      </c>
      <c r="W98" s="5">
        <v>0.5</v>
      </c>
      <c r="X98" s="5">
        <v>0.5</v>
      </c>
      <c r="Y98" s="5">
        <v>0.5</v>
      </c>
      <c r="Z98" s="5">
        <v>0.5</v>
      </c>
    </row>
    <row r="99" spans="1:26" x14ac:dyDescent="0.3">
      <c r="A99" s="5">
        <v>92</v>
      </c>
      <c r="B99" s="5">
        <v>5.851E-2</v>
      </c>
      <c r="C99" s="5">
        <v>0.11995</v>
      </c>
      <c r="D99" s="5">
        <v>0.20027</v>
      </c>
      <c r="E99" s="5">
        <v>0.21401000000000001</v>
      </c>
      <c r="F99" s="5">
        <v>0.22982</v>
      </c>
      <c r="G99" s="5">
        <v>0.24626999999999999</v>
      </c>
      <c r="H99" s="5">
        <v>0.26304</v>
      </c>
      <c r="I99" s="5">
        <v>0.27966000000000002</v>
      </c>
      <c r="J99" s="5">
        <v>0.29920999999999998</v>
      </c>
      <c r="K99" s="5">
        <v>0.32313999999999998</v>
      </c>
      <c r="L99" s="5">
        <v>0.34698000000000001</v>
      </c>
      <c r="M99" s="5">
        <v>0.37036000000000002</v>
      </c>
      <c r="N99" s="5">
        <v>0.39291999999999999</v>
      </c>
      <c r="O99" s="5">
        <v>0.4143</v>
      </c>
      <c r="P99" s="5">
        <v>0.43413000000000002</v>
      </c>
      <c r="Q99" s="5">
        <v>0.45205000000000001</v>
      </c>
      <c r="R99" s="5">
        <v>0.46768999999999999</v>
      </c>
      <c r="S99" s="5">
        <v>0.48068</v>
      </c>
      <c r="T99" s="5">
        <v>0.49064999999999998</v>
      </c>
      <c r="U99" s="5">
        <v>0.49723000000000001</v>
      </c>
      <c r="V99" s="5">
        <v>0.5</v>
      </c>
      <c r="W99" s="5">
        <v>0.5</v>
      </c>
      <c r="X99" s="5">
        <v>0.5</v>
      </c>
      <c r="Y99" s="5">
        <v>0.5</v>
      </c>
      <c r="Z99" s="5">
        <v>0.5</v>
      </c>
    </row>
    <row r="100" spans="1:26" x14ac:dyDescent="0.3">
      <c r="A100" s="5">
        <v>93</v>
      </c>
      <c r="B100" s="5">
        <v>7.5789999999999996E-2</v>
      </c>
      <c r="C100" s="5">
        <v>0.14935000000000001</v>
      </c>
      <c r="D100" s="5">
        <v>0.21401000000000001</v>
      </c>
      <c r="E100" s="5">
        <v>0.22982</v>
      </c>
      <c r="F100" s="5">
        <v>0.24626999999999999</v>
      </c>
      <c r="G100" s="5">
        <v>0.26304</v>
      </c>
      <c r="H100" s="5">
        <v>0.27966000000000002</v>
      </c>
      <c r="I100" s="5">
        <v>0.29920999999999998</v>
      </c>
      <c r="J100" s="5">
        <v>0.32313999999999998</v>
      </c>
      <c r="K100" s="5">
        <v>0.34698000000000001</v>
      </c>
      <c r="L100" s="5">
        <v>0.37036000000000002</v>
      </c>
      <c r="M100" s="5">
        <v>0.39291999999999999</v>
      </c>
      <c r="N100" s="5">
        <v>0.4143</v>
      </c>
      <c r="O100" s="5">
        <v>0.43413000000000002</v>
      </c>
      <c r="P100" s="5">
        <v>0.45205000000000001</v>
      </c>
      <c r="Q100" s="5">
        <v>0.46768999999999999</v>
      </c>
      <c r="R100" s="5">
        <v>0.48068</v>
      </c>
      <c r="S100" s="5">
        <v>0.49064999999999998</v>
      </c>
      <c r="T100" s="5">
        <v>0.49723000000000001</v>
      </c>
      <c r="U100" s="5">
        <v>0.5</v>
      </c>
      <c r="V100" s="5">
        <v>0.5</v>
      </c>
      <c r="W100" s="5">
        <v>0.5</v>
      </c>
      <c r="X100" s="5">
        <v>0.5</v>
      </c>
      <c r="Y100" s="5">
        <v>0.5</v>
      </c>
      <c r="Z100" s="5">
        <v>0.5</v>
      </c>
    </row>
    <row r="101" spans="1:26" x14ac:dyDescent="0.3">
      <c r="A101" s="5">
        <v>94</v>
      </c>
      <c r="B101" s="5">
        <v>9.8629999999999995E-2</v>
      </c>
      <c r="C101" s="5">
        <v>0.18848000000000001</v>
      </c>
      <c r="D101" s="5">
        <v>0.22982</v>
      </c>
      <c r="E101" s="5">
        <v>0.24626999999999999</v>
      </c>
      <c r="F101" s="5">
        <v>0.26304</v>
      </c>
      <c r="G101" s="5">
        <v>0.27966000000000002</v>
      </c>
      <c r="H101" s="5">
        <v>0.29920999999999998</v>
      </c>
      <c r="I101" s="5">
        <v>0.32313999999999998</v>
      </c>
      <c r="J101" s="5">
        <v>0.34698000000000001</v>
      </c>
      <c r="K101" s="5">
        <v>0.37036000000000002</v>
      </c>
      <c r="L101" s="5">
        <v>0.39291999999999999</v>
      </c>
      <c r="M101" s="5">
        <v>0.4143</v>
      </c>
      <c r="N101" s="5">
        <v>0.43413000000000002</v>
      </c>
      <c r="O101" s="5">
        <v>0.45205000000000001</v>
      </c>
      <c r="P101" s="5">
        <v>0.46768999999999999</v>
      </c>
      <c r="Q101" s="5">
        <v>0.48068</v>
      </c>
      <c r="R101" s="5">
        <v>0.49064999999999998</v>
      </c>
      <c r="S101" s="5">
        <v>0.49723000000000001</v>
      </c>
      <c r="T101" s="5">
        <v>0.5</v>
      </c>
      <c r="U101" s="5">
        <v>0.5</v>
      </c>
      <c r="V101" s="5">
        <v>0.5</v>
      </c>
      <c r="W101" s="5">
        <v>0.5</v>
      </c>
      <c r="X101" s="5">
        <v>0.5</v>
      </c>
      <c r="Y101" s="5">
        <v>0.5</v>
      </c>
      <c r="Z101" s="5">
        <v>0.5</v>
      </c>
    </row>
    <row r="102" spans="1:26" x14ac:dyDescent="0.3">
      <c r="A102" s="5">
        <v>95</v>
      </c>
      <c r="B102" s="5">
        <v>0.12806999999999999</v>
      </c>
      <c r="C102" s="5">
        <v>0.22982</v>
      </c>
      <c r="D102" s="5">
        <v>0.24626999999999999</v>
      </c>
      <c r="E102" s="5">
        <v>0.26304</v>
      </c>
      <c r="F102" s="5">
        <v>0.27966000000000002</v>
      </c>
      <c r="G102" s="5">
        <v>0.29920999999999998</v>
      </c>
      <c r="H102" s="5">
        <v>0.32313999999999998</v>
      </c>
      <c r="I102" s="5">
        <v>0.34698000000000001</v>
      </c>
      <c r="J102" s="5">
        <v>0.37036000000000002</v>
      </c>
      <c r="K102" s="5">
        <v>0.39291999999999999</v>
      </c>
      <c r="L102" s="5">
        <v>0.4143</v>
      </c>
      <c r="M102" s="5">
        <v>0.43413000000000002</v>
      </c>
      <c r="N102" s="5">
        <v>0.45205000000000001</v>
      </c>
      <c r="O102" s="5">
        <v>0.46768999999999999</v>
      </c>
      <c r="P102" s="5">
        <v>0.48068</v>
      </c>
      <c r="Q102" s="5">
        <v>0.49064999999999998</v>
      </c>
      <c r="R102" s="5">
        <v>0.49723000000000001</v>
      </c>
      <c r="S102" s="5">
        <v>0.5</v>
      </c>
      <c r="T102" s="5">
        <v>0.5</v>
      </c>
      <c r="U102" s="5">
        <v>0.5</v>
      </c>
      <c r="V102" s="5">
        <v>0.5</v>
      </c>
      <c r="W102" s="5">
        <v>0.5</v>
      </c>
      <c r="X102" s="5">
        <v>0.5</v>
      </c>
      <c r="Y102" s="5">
        <v>0.5</v>
      </c>
      <c r="Z102" s="5">
        <v>0.5</v>
      </c>
    </row>
    <row r="104" spans="1:26" x14ac:dyDescent="0.3">
      <c r="A104" s="5" t="s">
        <v>32</v>
      </c>
      <c r="B104" s="5" t="s">
        <v>52</v>
      </c>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x14ac:dyDescent="0.3">
      <c r="A105" s="5" t="s">
        <v>24</v>
      </c>
      <c r="B105" s="5" t="s">
        <v>403</v>
      </c>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x14ac:dyDescent="0.3">
      <c r="A106" s="5" t="s">
        <v>34</v>
      </c>
      <c r="B106" s="5" t="s">
        <v>35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x14ac:dyDescent="0.3">
      <c r="A107" s="5" t="s">
        <v>36</v>
      </c>
      <c r="B107" s="5" t="s">
        <v>37</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x14ac:dyDescent="0.3">
      <c r="A108" s="5" t="s">
        <v>38</v>
      </c>
      <c r="B108" s="5" t="s">
        <v>39</v>
      </c>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x14ac:dyDescent="0.3">
      <c r="A109" s="5" t="s">
        <v>40</v>
      </c>
      <c r="B109" s="5" t="s">
        <v>4</v>
      </c>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x14ac:dyDescent="0.3">
      <c r="A110" s="5" t="s">
        <v>42</v>
      </c>
      <c r="B110" s="5" t="s">
        <v>4</v>
      </c>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x14ac:dyDescent="0.3">
      <c r="A111" s="5" t="s">
        <v>44</v>
      </c>
      <c r="B111" s="5" t="s">
        <v>4</v>
      </c>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x14ac:dyDescent="0.3">
      <c r="A112" s="5" t="s">
        <v>45</v>
      </c>
      <c r="B112" s="5" t="s">
        <v>46</v>
      </c>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 x14ac:dyDescent="0.3">
      <c r="A113" s="5" t="s">
        <v>47</v>
      </c>
      <c r="B113" s="5" t="s">
        <v>270</v>
      </c>
    </row>
    <row r="114" spans="1:2" x14ac:dyDescent="0.3">
      <c r="A114" s="5" t="s">
        <v>50</v>
      </c>
      <c r="B114" s="5" t="s">
        <v>33</v>
      </c>
    </row>
    <row r="116" spans="1:2" x14ac:dyDescent="0.3">
      <c r="A116" s="5" t="s">
        <v>51</v>
      </c>
      <c r="B116" s="5" t="s">
        <v>33</v>
      </c>
    </row>
    <row r="117" spans="1:2" x14ac:dyDescent="0.3">
      <c r="A117" s="5" t="s">
        <v>46</v>
      </c>
      <c r="B117" s="5" t="s">
        <v>323</v>
      </c>
    </row>
    <row r="118" spans="1:2" x14ac:dyDescent="0.3">
      <c r="A118" s="5" t="s">
        <v>53</v>
      </c>
      <c r="B118" s="5" t="s">
        <v>323</v>
      </c>
    </row>
    <row r="119" spans="1:2" x14ac:dyDescent="0.3">
      <c r="A119" s="5" t="s">
        <v>54</v>
      </c>
      <c r="B119" s="5" t="s">
        <v>324</v>
      </c>
    </row>
    <row r="120" spans="1:2" x14ac:dyDescent="0.3">
      <c r="A120" s="5" t="s">
        <v>55</v>
      </c>
      <c r="B120" s="5" t="s">
        <v>323</v>
      </c>
    </row>
    <row r="121" spans="1:2" x14ac:dyDescent="0.3">
      <c r="A121" s="5" t="s">
        <v>56</v>
      </c>
      <c r="B121" s="5" t="s">
        <v>323</v>
      </c>
    </row>
    <row r="122" spans="1:2" x14ac:dyDescent="0.3">
      <c r="A122" s="5" t="s">
        <v>57</v>
      </c>
      <c r="B122" s="5" t="s">
        <v>325</v>
      </c>
    </row>
    <row r="123" spans="1:2" x14ac:dyDescent="0.3">
      <c r="A123" s="5" t="s">
        <v>58</v>
      </c>
      <c r="B123" s="5" t="s">
        <v>136</v>
      </c>
    </row>
    <row r="124" spans="1:2" x14ac:dyDescent="0.3">
      <c r="A124" s="5" t="s">
        <v>49</v>
      </c>
      <c r="B124" s="5" t="s">
        <v>136</v>
      </c>
    </row>
    <row r="125" spans="1:2" x14ac:dyDescent="0.3">
      <c r="A125" s="5" t="s">
        <v>113</v>
      </c>
      <c r="B125" s="5" t="s">
        <v>118</v>
      </c>
    </row>
    <row r="126" spans="1:2" x14ac:dyDescent="0.3">
      <c r="A126" s="5" t="s">
        <v>117</v>
      </c>
      <c r="B126" s="5" t="s">
        <v>118</v>
      </c>
    </row>
    <row r="127" spans="1:2" x14ac:dyDescent="0.3">
      <c r="A127" s="5" t="s">
        <v>122</v>
      </c>
      <c r="B127" s="5" t="s">
        <v>326</v>
      </c>
    </row>
    <row r="128" spans="1:2" x14ac:dyDescent="0.3">
      <c r="A128" s="5" t="s">
        <v>127</v>
      </c>
      <c r="B128" s="5" t="s">
        <v>327</v>
      </c>
    </row>
    <row r="129" spans="1:2" x14ac:dyDescent="0.3">
      <c r="A129" s="5" t="s">
        <v>131</v>
      </c>
      <c r="B129" s="5" t="s">
        <v>109</v>
      </c>
    </row>
    <row r="130" spans="1:2" x14ac:dyDescent="0.3">
      <c r="A130" s="5" t="s">
        <v>133</v>
      </c>
      <c r="B130" s="5" t="s">
        <v>103</v>
      </c>
    </row>
    <row r="131" spans="1:2" x14ac:dyDescent="0.3">
      <c r="A131" s="5" t="s">
        <v>135</v>
      </c>
      <c r="B131" s="5" t="s">
        <v>104</v>
      </c>
    </row>
    <row r="132" spans="1:2" x14ac:dyDescent="0.3">
      <c r="A132" s="5" t="s">
        <v>139</v>
      </c>
      <c r="B132" s="5" t="s">
        <v>105</v>
      </c>
    </row>
    <row r="133" spans="1:2" x14ac:dyDescent="0.3">
      <c r="A133" s="5" t="s">
        <v>142</v>
      </c>
      <c r="B133" s="5" t="s">
        <v>82</v>
      </c>
    </row>
    <row r="134" spans="1:2" x14ac:dyDescent="0.3">
      <c r="A134" s="5" t="s">
        <v>146</v>
      </c>
      <c r="B134" s="5" t="s">
        <v>328</v>
      </c>
    </row>
    <row r="135" spans="1:2" x14ac:dyDescent="0.3">
      <c r="A135" s="5" t="s">
        <v>148</v>
      </c>
      <c r="B135" s="5" t="s">
        <v>137</v>
      </c>
    </row>
    <row r="136" spans="1:2" x14ac:dyDescent="0.3">
      <c r="A136" s="5" t="s">
        <v>151</v>
      </c>
      <c r="B136" s="5" t="s">
        <v>161</v>
      </c>
    </row>
    <row r="137" spans="1:2" x14ac:dyDescent="0.3">
      <c r="A137" s="5" t="s">
        <v>156</v>
      </c>
      <c r="B137" s="5" t="s">
        <v>106</v>
      </c>
    </row>
    <row r="138" spans="1:2" x14ac:dyDescent="0.3">
      <c r="A138" s="5" t="s">
        <v>160</v>
      </c>
      <c r="B138" s="5" t="s">
        <v>93</v>
      </c>
    </row>
    <row r="139" spans="1:2" x14ac:dyDescent="0.3">
      <c r="A139" s="5" t="s">
        <v>163</v>
      </c>
      <c r="B139" s="5" t="s">
        <v>144</v>
      </c>
    </row>
    <row r="140" spans="1:2" x14ac:dyDescent="0.3">
      <c r="A140" s="5" t="s">
        <v>164</v>
      </c>
      <c r="B140" s="5" t="s">
        <v>170</v>
      </c>
    </row>
    <row r="141" spans="1:2" x14ac:dyDescent="0.3">
      <c r="A141" s="5" t="s">
        <v>165</v>
      </c>
      <c r="B141" s="5" t="s">
        <v>111</v>
      </c>
    </row>
    <row r="142" spans="1:2" x14ac:dyDescent="0.3">
      <c r="A142" s="5" t="s">
        <v>168</v>
      </c>
      <c r="B142" s="5" t="s">
        <v>330</v>
      </c>
    </row>
    <row r="143" spans="1:2" x14ac:dyDescent="0.3">
      <c r="A143" s="5" t="s">
        <v>169</v>
      </c>
      <c r="B143" s="5" t="s">
        <v>175</v>
      </c>
    </row>
    <row r="144" spans="1:2" x14ac:dyDescent="0.3">
      <c r="A144" s="5" t="s">
        <v>172</v>
      </c>
      <c r="B144" s="5" t="s">
        <v>95</v>
      </c>
    </row>
    <row r="145" spans="1:2" x14ac:dyDescent="0.3">
      <c r="A145" s="5" t="s">
        <v>174</v>
      </c>
      <c r="B145" s="5" t="s">
        <v>102</v>
      </c>
    </row>
    <row r="146" spans="1:2" x14ac:dyDescent="0.3">
      <c r="A146" s="5" t="s">
        <v>176</v>
      </c>
      <c r="B146" s="5" t="s">
        <v>108</v>
      </c>
    </row>
    <row r="147" spans="1:2" x14ac:dyDescent="0.3">
      <c r="A147" s="5" t="s">
        <v>178</v>
      </c>
      <c r="B147" s="5" t="s">
        <v>99</v>
      </c>
    </row>
    <row r="148" spans="1:2" x14ac:dyDescent="0.3">
      <c r="A148" s="5" t="s">
        <v>179</v>
      </c>
      <c r="B148" s="5" t="s">
        <v>198</v>
      </c>
    </row>
    <row r="149" spans="1:2" x14ac:dyDescent="0.3">
      <c r="A149" s="5" t="s">
        <v>180</v>
      </c>
      <c r="B149" s="5" t="s">
        <v>273</v>
      </c>
    </row>
    <row r="150" spans="1:2" x14ac:dyDescent="0.3">
      <c r="A150" s="5" t="s">
        <v>181</v>
      </c>
      <c r="B150" s="5" t="s">
        <v>333</v>
      </c>
    </row>
    <row r="151" spans="1:2" x14ac:dyDescent="0.3">
      <c r="A151" s="5" t="s">
        <v>182</v>
      </c>
      <c r="B151" s="5" t="s">
        <v>132</v>
      </c>
    </row>
    <row r="152" spans="1:2" x14ac:dyDescent="0.3">
      <c r="A152" s="5" t="s">
        <v>184</v>
      </c>
      <c r="B152" s="5" t="s">
        <v>334</v>
      </c>
    </row>
    <row r="153" spans="1:2" x14ac:dyDescent="0.3">
      <c r="A153" s="5" t="s">
        <v>185</v>
      </c>
      <c r="B153" s="5" t="s">
        <v>336</v>
      </c>
    </row>
    <row r="154" spans="1:2" x14ac:dyDescent="0.3">
      <c r="A154" s="5" t="s">
        <v>186</v>
      </c>
      <c r="B154" s="5" t="s">
        <v>337</v>
      </c>
    </row>
    <row r="155" spans="1:2" x14ac:dyDescent="0.3">
      <c r="A155" s="5" t="s">
        <v>189</v>
      </c>
      <c r="B155" s="5" t="s">
        <v>173</v>
      </c>
    </row>
    <row r="156" spans="1:2" x14ac:dyDescent="0.3">
      <c r="A156" s="5" t="s">
        <v>192</v>
      </c>
      <c r="B156" s="5" t="s">
        <v>154</v>
      </c>
    </row>
    <row r="157" spans="1:2" x14ac:dyDescent="0.3">
      <c r="A157" s="5" t="s">
        <v>194</v>
      </c>
      <c r="B157" s="5" t="s">
        <v>339</v>
      </c>
    </row>
    <row r="158" spans="1:2" x14ac:dyDescent="0.3">
      <c r="A158" s="5" t="s">
        <v>197</v>
      </c>
      <c r="B158" s="5" t="s">
        <v>341</v>
      </c>
    </row>
    <row r="159" spans="1:2" x14ac:dyDescent="0.3">
      <c r="A159" s="5" t="s">
        <v>200</v>
      </c>
      <c r="B159" s="5" t="s">
        <v>342</v>
      </c>
    </row>
    <row r="160" spans="1:2" x14ac:dyDescent="0.3">
      <c r="A160" s="5" t="s">
        <v>203</v>
      </c>
      <c r="B160" s="5" t="s">
        <v>201</v>
      </c>
    </row>
    <row r="161" spans="1:2" x14ac:dyDescent="0.3">
      <c r="A161" s="5" t="s">
        <v>205</v>
      </c>
      <c r="B161" s="5" t="s">
        <v>343</v>
      </c>
    </row>
    <row r="162" spans="1:2" x14ac:dyDescent="0.3">
      <c r="A162" s="5" t="s">
        <v>207</v>
      </c>
      <c r="B162" s="5" t="s">
        <v>344</v>
      </c>
    </row>
    <row r="163" spans="1:2" x14ac:dyDescent="0.3">
      <c r="A163" s="5" t="s">
        <v>209</v>
      </c>
      <c r="B163" s="5" t="s">
        <v>345</v>
      </c>
    </row>
    <row r="164" spans="1:2" x14ac:dyDescent="0.3">
      <c r="A164" s="5" t="s">
        <v>211</v>
      </c>
      <c r="B164" s="5" t="s">
        <v>346</v>
      </c>
    </row>
    <row r="165" spans="1:2" x14ac:dyDescent="0.3">
      <c r="A165" s="5" t="s">
        <v>213</v>
      </c>
      <c r="B165" s="5" t="s">
        <v>347</v>
      </c>
    </row>
    <row r="166" spans="1:2" x14ac:dyDescent="0.3">
      <c r="A166" s="5" t="s">
        <v>216</v>
      </c>
      <c r="B166" s="5" t="s">
        <v>348</v>
      </c>
    </row>
    <row r="167" spans="1:2" x14ac:dyDescent="0.3">
      <c r="A167" s="5" t="s">
        <v>219</v>
      </c>
      <c r="B167" s="5" t="s">
        <v>349</v>
      </c>
    </row>
    <row r="168" spans="1:2" x14ac:dyDescent="0.3">
      <c r="A168" s="5" t="s">
        <v>222</v>
      </c>
      <c r="B168" s="5" t="s">
        <v>350</v>
      </c>
    </row>
    <row r="169" spans="1:2" x14ac:dyDescent="0.3">
      <c r="A169" s="5" t="s">
        <v>224</v>
      </c>
      <c r="B169" s="5" t="s">
        <v>352</v>
      </c>
    </row>
    <row r="170" spans="1:2" x14ac:dyDescent="0.3">
      <c r="A170" s="5" t="s">
        <v>227</v>
      </c>
      <c r="B170" s="5" t="s">
        <v>354</v>
      </c>
    </row>
    <row r="171" spans="1:2" x14ac:dyDescent="0.3">
      <c r="A171" s="5" t="s">
        <v>229</v>
      </c>
      <c r="B171" s="5" t="s">
        <v>355</v>
      </c>
    </row>
    <row r="172" spans="1:2" x14ac:dyDescent="0.3">
      <c r="A172" s="5" t="s">
        <v>231</v>
      </c>
      <c r="B172" s="5" t="s">
        <v>357</v>
      </c>
    </row>
    <row r="173" spans="1:2" x14ac:dyDescent="0.3">
      <c r="A173" s="5" t="s">
        <v>233</v>
      </c>
      <c r="B173" s="5" t="s">
        <v>358</v>
      </c>
    </row>
    <row r="174" spans="1:2" x14ac:dyDescent="0.3">
      <c r="A174" s="5" t="s">
        <v>235</v>
      </c>
      <c r="B174" s="5" t="s">
        <v>359</v>
      </c>
    </row>
    <row r="175" spans="1:2" x14ac:dyDescent="0.3">
      <c r="A175" s="5" t="s">
        <v>237</v>
      </c>
      <c r="B175" s="5" t="s">
        <v>360</v>
      </c>
    </row>
    <row r="176" spans="1:2" x14ac:dyDescent="0.3">
      <c r="A176" s="5" t="s">
        <v>239</v>
      </c>
      <c r="B176" s="5" t="s">
        <v>362</v>
      </c>
    </row>
    <row r="177" spans="1:2" x14ac:dyDescent="0.3">
      <c r="A177" s="5" t="s">
        <v>241</v>
      </c>
      <c r="B177" s="5" t="s">
        <v>363</v>
      </c>
    </row>
    <row r="178" spans="1:2" x14ac:dyDescent="0.3">
      <c r="A178" s="5" t="s">
        <v>243</v>
      </c>
      <c r="B178" s="5" t="s">
        <v>366</v>
      </c>
    </row>
    <row r="179" spans="1:2" x14ac:dyDescent="0.3">
      <c r="A179" s="5" t="s">
        <v>245</v>
      </c>
      <c r="B179" s="5" t="s">
        <v>367</v>
      </c>
    </row>
    <row r="180" spans="1:2" x14ac:dyDescent="0.3">
      <c r="A180" s="5" t="s">
        <v>247</v>
      </c>
      <c r="B180" s="5" t="s">
        <v>368</v>
      </c>
    </row>
    <row r="181" spans="1:2" x14ac:dyDescent="0.3">
      <c r="A181" s="5" t="s">
        <v>249</v>
      </c>
      <c r="B181" s="5" t="s">
        <v>369</v>
      </c>
    </row>
    <row r="182" spans="1:2" x14ac:dyDescent="0.3">
      <c r="A182" s="5" t="s">
        <v>251</v>
      </c>
      <c r="B182" s="5" t="s">
        <v>370</v>
      </c>
    </row>
    <row r="183" spans="1:2" x14ac:dyDescent="0.3">
      <c r="A183" s="5" t="s">
        <v>253</v>
      </c>
      <c r="B183" s="5" t="s">
        <v>371</v>
      </c>
    </row>
    <row r="184" spans="1:2" x14ac:dyDescent="0.3">
      <c r="A184" s="5" t="s">
        <v>255</v>
      </c>
      <c r="B184" s="5" t="s">
        <v>372</v>
      </c>
    </row>
    <row r="185" spans="1:2" x14ac:dyDescent="0.3">
      <c r="A185" s="5" t="s">
        <v>257</v>
      </c>
      <c r="B185" s="5" t="s">
        <v>373</v>
      </c>
    </row>
    <row r="186" spans="1:2" x14ac:dyDescent="0.3">
      <c r="A186" s="5" t="s">
        <v>259</v>
      </c>
      <c r="B186" s="5" t="s">
        <v>374</v>
      </c>
    </row>
    <row r="187" spans="1:2" x14ac:dyDescent="0.3">
      <c r="A187" s="5" t="s">
        <v>261</v>
      </c>
      <c r="B187" s="5" t="s">
        <v>375</v>
      </c>
    </row>
    <row r="188" spans="1:2" x14ac:dyDescent="0.3">
      <c r="A188" s="5" t="s">
        <v>263</v>
      </c>
      <c r="B188" s="5" t="s">
        <v>376</v>
      </c>
    </row>
    <row r="189" spans="1:2" x14ac:dyDescent="0.3">
      <c r="A189" s="5" t="s">
        <v>264</v>
      </c>
      <c r="B189" s="5" t="s">
        <v>377</v>
      </c>
    </row>
    <row r="190" spans="1:2" x14ac:dyDescent="0.3">
      <c r="A190" s="5" t="s">
        <v>265</v>
      </c>
      <c r="B190" s="5" t="s">
        <v>379</v>
      </c>
    </row>
    <row r="191" spans="1:2" x14ac:dyDescent="0.3">
      <c r="A191" s="5" t="s">
        <v>266</v>
      </c>
      <c r="B191" s="5" t="s">
        <v>380</v>
      </c>
    </row>
    <row r="192" spans="1:2" x14ac:dyDescent="0.3">
      <c r="A192" s="5" t="s">
        <v>267</v>
      </c>
      <c r="B192" s="5" t="s">
        <v>382</v>
      </c>
    </row>
    <row r="193" spans="1:2" x14ac:dyDescent="0.3">
      <c r="A193" s="5" t="s">
        <v>268</v>
      </c>
      <c r="B193" s="5" t="s">
        <v>383</v>
      </c>
    </row>
    <row r="194" spans="1:2" x14ac:dyDescent="0.3">
      <c r="A194" s="5" t="s">
        <v>48</v>
      </c>
      <c r="B194" s="5" t="s">
        <v>384</v>
      </c>
    </row>
    <row r="195" spans="1:2" x14ac:dyDescent="0.3">
      <c r="A195" s="5" t="s">
        <v>295</v>
      </c>
      <c r="B195" s="5" t="s">
        <v>385</v>
      </c>
    </row>
    <row r="196" spans="1:2" x14ac:dyDescent="0.3">
      <c r="A196" s="5" t="s">
        <v>296</v>
      </c>
      <c r="B196" s="5" t="s">
        <v>386</v>
      </c>
    </row>
    <row r="197" spans="1:2" x14ac:dyDescent="0.3">
      <c r="A197" s="5" t="s">
        <v>297</v>
      </c>
      <c r="B197" s="5" t="s">
        <v>387</v>
      </c>
    </row>
    <row r="198" spans="1:2" x14ac:dyDescent="0.3">
      <c r="A198" s="5" t="s">
        <v>298</v>
      </c>
      <c r="B198" s="5" t="s">
        <v>388</v>
      </c>
    </row>
    <row r="199" spans="1:2" x14ac:dyDescent="0.3">
      <c r="A199" s="5" t="s">
        <v>299</v>
      </c>
      <c r="B199" s="5" t="s">
        <v>390</v>
      </c>
    </row>
    <row r="200" spans="1:2" x14ac:dyDescent="0.3">
      <c r="A200" s="5" t="s">
        <v>300</v>
      </c>
      <c r="B200" s="5" t="s">
        <v>392</v>
      </c>
    </row>
    <row r="201" spans="1:2" x14ac:dyDescent="0.3">
      <c r="A201" s="5" t="s">
        <v>301</v>
      </c>
      <c r="B201" s="5" t="s">
        <v>393</v>
      </c>
    </row>
    <row r="202" spans="1:2" x14ac:dyDescent="0.3">
      <c r="A202" s="5" t="s">
        <v>302</v>
      </c>
      <c r="B202" s="5" t="s">
        <v>394</v>
      </c>
    </row>
    <row r="203" spans="1:2" x14ac:dyDescent="0.3">
      <c r="A203" s="5" t="s">
        <v>303</v>
      </c>
      <c r="B203" s="5" t="s">
        <v>395</v>
      </c>
    </row>
    <row r="204" spans="1:2" x14ac:dyDescent="0.3">
      <c r="A204" s="5" t="s">
        <v>304</v>
      </c>
      <c r="B204" s="5" t="s">
        <v>396</v>
      </c>
    </row>
    <row r="205" spans="1:2" x14ac:dyDescent="0.3">
      <c r="A205" s="5" t="s">
        <v>305</v>
      </c>
      <c r="B205" s="5" t="s">
        <v>397</v>
      </c>
    </row>
    <row r="206" spans="1:2" x14ac:dyDescent="0.3">
      <c r="A206" s="5" t="s">
        <v>306</v>
      </c>
      <c r="B206" s="5" t="s">
        <v>398</v>
      </c>
    </row>
    <row r="207" spans="1:2" x14ac:dyDescent="0.3">
      <c r="A207" s="5" t="s">
        <v>307</v>
      </c>
      <c r="B207" s="5" t="s">
        <v>399</v>
      </c>
    </row>
    <row r="208" spans="1:2" x14ac:dyDescent="0.3">
      <c r="A208" s="5" t="s">
        <v>308</v>
      </c>
      <c r="B208" s="5" t="s">
        <v>400</v>
      </c>
    </row>
    <row r="209" spans="1:2" x14ac:dyDescent="0.3">
      <c r="A209" s="5" t="s">
        <v>309</v>
      </c>
      <c r="B209" s="5" t="s">
        <v>401</v>
      </c>
    </row>
    <row r="210" spans="1:2" x14ac:dyDescent="0.3">
      <c r="A210" s="5" t="s">
        <v>310</v>
      </c>
      <c r="B210" s="5" t="s">
        <v>402</v>
      </c>
    </row>
    <row r="211" spans="1:2" x14ac:dyDescent="0.3">
      <c r="A211" s="5" t="s">
        <v>311</v>
      </c>
      <c r="B211" s="5" t="s">
        <v>262</v>
      </c>
    </row>
    <row r="212" spans="1:2" x14ac:dyDescent="0.3">
      <c r="A212" s="5" t="s">
        <v>312</v>
      </c>
      <c r="B212" s="5" t="s">
        <v>262</v>
      </c>
    </row>
    <row r="213" spans="1:2" x14ac:dyDescent="0.3">
      <c r="A213" s="5" t="s">
        <v>313</v>
      </c>
      <c r="B213" s="5" t="s">
        <v>262</v>
      </c>
    </row>
    <row r="214" spans="1:2" x14ac:dyDescent="0.3">
      <c r="A214" s="5" t="s">
        <v>314</v>
      </c>
      <c r="B214" s="5" t="s">
        <v>262</v>
      </c>
    </row>
    <row r="215" spans="1:2" x14ac:dyDescent="0.3">
      <c r="A215" s="5" t="s">
        <v>315</v>
      </c>
      <c r="B215" s="5" t="s">
        <v>262</v>
      </c>
    </row>
    <row r="216" spans="1:2" x14ac:dyDescent="0.3">
      <c r="A216" s="5" t="s">
        <v>316</v>
      </c>
      <c r="B216" s="5" t="s">
        <v>262</v>
      </c>
    </row>
    <row r="217" spans="1:2" x14ac:dyDescent="0.3">
      <c r="A217" s="5" t="s">
        <v>317</v>
      </c>
      <c r="B217" s="5" t="s">
        <v>262</v>
      </c>
    </row>
    <row r="218" spans="1:2" x14ac:dyDescent="0.3">
      <c r="A218" s="5" t="s">
        <v>318</v>
      </c>
      <c r="B218" s="5" t="s">
        <v>262</v>
      </c>
    </row>
    <row r="219" spans="1:2" x14ac:dyDescent="0.3">
      <c r="A219" s="5" t="s">
        <v>270</v>
      </c>
      <c r="B219" s="5" t="s">
        <v>262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18EC-889E-4621-909D-A1B94A8DB740}">
  <sheetPr codeName="Sheet7"/>
  <dimension ref="A1:Z219"/>
  <sheetViews>
    <sheetView topLeftCell="A9" workbookViewId="0">
      <selection activeCell="V18" sqref="V18"/>
    </sheetView>
  </sheetViews>
  <sheetFormatPr defaultColWidth="9.109375" defaultRowHeight="14.4" x14ac:dyDescent="0.3"/>
  <cols>
    <col min="1" max="16384" width="9.109375" style="6"/>
  </cols>
  <sheetData>
    <row r="1" spans="1:2" x14ac:dyDescent="0.3">
      <c r="A1" s="5" t="s">
        <v>12</v>
      </c>
      <c r="B1" s="5" t="s">
        <v>405</v>
      </c>
    </row>
    <row r="2" spans="1:2" x14ac:dyDescent="0.3">
      <c r="A2" s="5" t="s">
        <v>14</v>
      </c>
      <c r="B2" s="5" t="s">
        <v>406</v>
      </c>
    </row>
    <row r="3" spans="1:2" x14ac:dyDescent="0.3">
      <c r="A3" s="5" t="s">
        <v>16</v>
      </c>
      <c r="B3" s="5" t="s">
        <v>17</v>
      </c>
    </row>
    <row r="4" spans="1:2" x14ac:dyDescent="0.3">
      <c r="A4" s="5" t="s">
        <v>18</v>
      </c>
      <c r="B4" s="5" t="s">
        <v>19</v>
      </c>
    </row>
    <row r="5" spans="1:2" x14ac:dyDescent="0.3">
      <c r="A5" s="5" t="s">
        <v>20</v>
      </c>
      <c r="B5" s="5" t="s">
        <v>21</v>
      </c>
    </row>
    <row r="6" spans="1:2" x14ac:dyDescent="0.3">
      <c r="A6" s="5" t="s">
        <v>22</v>
      </c>
      <c r="B6" s="5" t="s">
        <v>23</v>
      </c>
    </row>
    <row r="7" spans="1:2" x14ac:dyDescent="0.3">
      <c r="A7" s="5" t="s">
        <v>24</v>
      </c>
      <c r="B7" s="5" t="s">
        <v>475</v>
      </c>
    </row>
    <row r="8" spans="1:2" x14ac:dyDescent="0.3">
      <c r="A8" s="5" t="s">
        <v>26</v>
      </c>
      <c r="B8" s="5" t="s">
        <v>27</v>
      </c>
    </row>
    <row r="9" spans="1:2" x14ac:dyDescent="0.3">
      <c r="A9" s="5" t="s">
        <v>28</v>
      </c>
      <c r="B9" s="5" t="s">
        <v>29</v>
      </c>
    </row>
    <row r="10" spans="1:2" x14ac:dyDescent="0.3">
      <c r="A10" s="5" t="s">
        <v>30</v>
      </c>
      <c r="B10" s="5" t="s">
        <v>31</v>
      </c>
    </row>
    <row r="12" spans="1:2" x14ac:dyDescent="0.3">
      <c r="A12" s="5" t="s">
        <v>32</v>
      </c>
      <c r="B12" s="5">
        <v>1</v>
      </c>
    </row>
    <row r="13" spans="1:2" x14ac:dyDescent="0.3">
      <c r="A13" s="5" t="s">
        <v>24</v>
      </c>
      <c r="B13" s="5" t="s">
        <v>407</v>
      </c>
    </row>
    <row r="14" spans="1:2" x14ac:dyDescent="0.3">
      <c r="A14" s="5" t="s">
        <v>34</v>
      </c>
      <c r="B14" s="5" t="s">
        <v>35</v>
      </c>
    </row>
    <row r="15" spans="1:2" x14ac:dyDescent="0.3">
      <c r="A15" s="5" t="s">
        <v>36</v>
      </c>
      <c r="B15" s="5">
        <v>0</v>
      </c>
    </row>
    <row r="16" spans="1:2" x14ac:dyDescent="0.3">
      <c r="A16" s="5" t="s">
        <v>38</v>
      </c>
      <c r="B16" s="5" t="s">
        <v>39</v>
      </c>
    </row>
    <row r="17" spans="1:26" x14ac:dyDescent="0.3">
      <c r="A17" s="5" t="s">
        <v>40</v>
      </c>
      <c r="B17" s="5" t="s">
        <v>4</v>
      </c>
      <c r="C17" s="5" t="s">
        <v>41</v>
      </c>
      <c r="D17" s="5"/>
      <c r="E17" s="5"/>
      <c r="F17" s="5"/>
      <c r="G17" s="5"/>
      <c r="H17" s="5"/>
      <c r="I17" s="5"/>
      <c r="J17" s="5"/>
      <c r="K17" s="5"/>
      <c r="L17" s="5"/>
      <c r="M17" s="5"/>
      <c r="N17" s="5"/>
      <c r="O17" s="5"/>
      <c r="P17" s="5"/>
      <c r="Q17" s="5"/>
      <c r="R17" s="5"/>
      <c r="S17" s="5"/>
      <c r="T17" s="5"/>
      <c r="U17" s="5"/>
      <c r="V17" s="5"/>
      <c r="W17" s="5"/>
      <c r="X17" s="5"/>
      <c r="Y17" s="5"/>
      <c r="Z17" s="5"/>
    </row>
    <row r="18" spans="1:26" x14ac:dyDescent="0.3">
      <c r="A18" s="5" t="s">
        <v>42</v>
      </c>
      <c r="B18" s="5" t="s">
        <v>4</v>
      </c>
      <c r="C18" s="5" t="s">
        <v>43</v>
      </c>
      <c r="D18" s="5"/>
      <c r="E18" s="5"/>
      <c r="F18" s="5"/>
      <c r="G18" s="5"/>
      <c r="H18" s="5"/>
      <c r="I18" s="5"/>
      <c r="J18" s="5"/>
      <c r="K18" s="5"/>
      <c r="L18" s="5"/>
      <c r="M18" s="5"/>
      <c r="N18" s="5"/>
      <c r="O18" s="5"/>
      <c r="P18" s="5"/>
      <c r="Q18" s="5"/>
      <c r="R18" s="5"/>
      <c r="S18" s="5"/>
      <c r="T18" s="5"/>
      <c r="U18" s="5"/>
      <c r="V18" s="5"/>
      <c r="W18" s="5"/>
      <c r="X18" s="5"/>
      <c r="Y18" s="5"/>
      <c r="Z18" s="5"/>
    </row>
    <row r="19" spans="1:26" x14ac:dyDescent="0.3">
      <c r="A19" s="5" t="s">
        <v>44</v>
      </c>
      <c r="B19" s="5" t="s">
        <v>4</v>
      </c>
      <c r="C19" s="5" t="s">
        <v>41</v>
      </c>
      <c r="D19" s="5"/>
      <c r="E19" s="5"/>
      <c r="F19" s="5"/>
      <c r="G19" s="5"/>
      <c r="H19" s="5"/>
      <c r="I19" s="5"/>
      <c r="J19" s="5"/>
      <c r="K19" s="5"/>
      <c r="L19" s="5"/>
      <c r="M19" s="5"/>
      <c r="N19" s="5"/>
      <c r="O19" s="5"/>
      <c r="P19" s="5"/>
      <c r="Q19" s="5"/>
      <c r="R19" s="5"/>
      <c r="S19" s="5"/>
      <c r="T19" s="5"/>
      <c r="U19" s="5"/>
      <c r="V19" s="5"/>
      <c r="W19" s="5"/>
      <c r="X19" s="5"/>
      <c r="Y19" s="5"/>
      <c r="Z19" s="5"/>
    </row>
    <row r="20" spans="1:26" x14ac:dyDescent="0.3">
      <c r="A20" s="5" t="s">
        <v>45</v>
      </c>
      <c r="B20" s="5">
        <v>18</v>
      </c>
      <c r="C20" s="5">
        <v>1</v>
      </c>
      <c r="D20" s="5"/>
      <c r="E20" s="5"/>
      <c r="F20" s="5"/>
      <c r="G20" s="5"/>
      <c r="H20" s="5"/>
      <c r="I20" s="5"/>
      <c r="J20" s="5"/>
      <c r="K20" s="5"/>
      <c r="L20" s="5"/>
      <c r="M20" s="5"/>
      <c r="N20" s="5"/>
      <c r="O20" s="5"/>
      <c r="P20" s="5"/>
      <c r="Q20" s="5"/>
      <c r="R20" s="5"/>
      <c r="S20" s="5"/>
      <c r="T20" s="5"/>
      <c r="U20" s="5"/>
      <c r="V20" s="5"/>
      <c r="W20" s="5"/>
      <c r="X20" s="5"/>
      <c r="Y20" s="5"/>
      <c r="Z20" s="5"/>
    </row>
    <row r="21" spans="1:26" x14ac:dyDescent="0.3">
      <c r="A21" s="5" t="s">
        <v>47</v>
      </c>
      <c r="B21" s="5">
        <v>95</v>
      </c>
      <c r="C21" s="5">
        <v>25</v>
      </c>
      <c r="D21" s="5"/>
      <c r="E21" s="5"/>
      <c r="F21" s="5"/>
      <c r="G21" s="5"/>
      <c r="H21" s="5"/>
      <c r="I21" s="5"/>
      <c r="J21" s="5"/>
      <c r="K21" s="5"/>
      <c r="L21" s="5"/>
      <c r="M21" s="5"/>
      <c r="N21" s="5"/>
      <c r="O21" s="5"/>
      <c r="P21" s="5"/>
      <c r="Q21" s="5"/>
      <c r="R21" s="5"/>
      <c r="S21" s="5"/>
      <c r="T21" s="5"/>
      <c r="U21" s="5"/>
      <c r="V21" s="5"/>
      <c r="W21" s="5"/>
      <c r="X21" s="5"/>
      <c r="Y21" s="5"/>
      <c r="Z21" s="5"/>
    </row>
    <row r="22" spans="1:26" x14ac:dyDescent="0.3">
      <c r="A22" s="5" t="s">
        <v>50</v>
      </c>
      <c r="B22" s="5">
        <v>1</v>
      </c>
      <c r="C22" s="5">
        <v>1</v>
      </c>
      <c r="D22" s="5"/>
      <c r="E22" s="5"/>
      <c r="F22" s="5"/>
      <c r="G22" s="5"/>
      <c r="H22" s="5"/>
      <c r="I22" s="5"/>
      <c r="J22" s="5"/>
      <c r="K22" s="5"/>
      <c r="L22" s="5"/>
      <c r="M22" s="5"/>
      <c r="N22" s="5"/>
      <c r="O22" s="5"/>
      <c r="P22" s="5"/>
      <c r="Q22" s="5"/>
      <c r="R22" s="5"/>
      <c r="S22" s="5"/>
      <c r="T22" s="5"/>
      <c r="U22" s="5"/>
      <c r="V22" s="5"/>
      <c r="W22" s="5"/>
      <c r="X22" s="5"/>
      <c r="Y22" s="5"/>
      <c r="Z22" s="5"/>
    </row>
    <row r="24" spans="1:26" x14ac:dyDescent="0.3">
      <c r="A24" s="5" t="s">
        <v>51</v>
      </c>
      <c r="B24" s="5">
        <v>1</v>
      </c>
      <c r="C24" s="5">
        <v>2</v>
      </c>
      <c r="D24" s="5">
        <v>3</v>
      </c>
      <c r="E24" s="5">
        <v>4</v>
      </c>
      <c r="F24" s="5">
        <v>5</v>
      </c>
      <c r="G24" s="5">
        <v>6</v>
      </c>
      <c r="H24" s="5">
        <v>7</v>
      </c>
      <c r="I24" s="5">
        <v>8</v>
      </c>
      <c r="J24" s="5">
        <v>9</v>
      </c>
      <c r="K24" s="5">
        <v>10</v>
      </c>
      <c r="L24" s="5">
        <v>11</v>
      </c>
      <c r="M24" s="5">
        <v>12</v>
      </c>
      <c r="N24" s="5">
        <v>13</v>
      </c>
      <c r="O24" s="5">
        <v>14</v>
      </c>
      <c r="P24" s="5">
        <v>15</v>
      </c>
      <c r="Q24" s="5">
        <v>16</v>
      </c>
      <c r="R24" s="5">
        <v>17</v>
      </c>
      <c r="S24" s="5">
        <v>18</v>
      </c>
      <c r="T24" s="5">
        <v>19</v>
      </c>
      <c r="U24" s="5">
        <v>20</v>
      </c>
      <c r="V24" s="5">
        <v>21</v>
      </c>
      <c r="W24" s="5">
        <v>22</v>
      </c>
      <c r="X24" s="5">
        <v>23</v>
      </c>
      <c r="Y24" s="5">
        <v>24</v>
      </c>
      <c r="Z24" s="5">
        <v>25</v>
      </c>
    </row>
    <row r="25" spans="1:26" x14ac:dyDescent="0.3">
      <c r="A25" s="5">
        <v>18</v>
      </c>
      <c r="B25" s="5">
        <v>6.6E-4</v>
      </c>
      <c r="C25" s="5">
        <v>6.8999999999999997E-4</v>
      </c>
      <c r="D25" s="5">
        <v>7.1000000000000002E-4</v>
      </c>
      <c r="E25" s="5">
        <v>7.1000000000000002E-4</v>
      </c>
      <c r="F25" s="5">
        <v>6.8999999999999997E-4</v>
      </c>
      <c r="G25" s="5">
        <v>6.8999999999999997E-4</v>
      </c>
      <c r="H25" s="5">
        <v>6.8000000000000005E-4</v>
      </c>
      <c r="I25" s="5">
        <v>6.6E-4</v>
      </c>
      <c r="J25" s="5">
        <v>5.6999999999999998E-4</v>
      </c>
      <c r="K25" s="5">
        <v>5.1999999999999995E-4</v>
      </c>
      <c r="L25" s="5">
        <v>5.0000000000000001E-4</v>
      </c>
      <c r="M25" s="5">
        <v>4.6999999999999999E-4</v>
      </c>
      <c r="N25" s="5">
        <v>4.6000000000000001E-4</v>
      </c>
      <c r="O25" s="5">
        <v>4.8999999999999998E-4</v>
      </c>
      <c r="P25" s="5">
        <v>5.1999999999999995E-4</v>
      </c>
      <c r="Q25" s="5">
        <v>5.8E-4</v>
      </c>
      <c r="R25" s="5">
        <v>6.6E-4</v>
      </c>
      <c r="S25" s="5">
        <v>7.6999999999999996E-4</v>
      </c>
      <c r="T25" s="5">
        <v>8.8999999999999995E-4</v>
      </c>
      <c r="U25" s="5">
        <v>1.01E-3</v>
      </c>
      <c r="V25" s="5">
        <v>1.1100000000000001E-3</v>
      </c>
      <c r="W25" s="5">
        <v>1.17E-3</v>
      </c>
      <c r="X25" s="5">
        <v>1.24E-3</v>
      </c>
      <c r="Y25" s="5">
        <v>1.31E-3</v>
      </c>
      <c r="Z25" s="5">
        <v>1.4E-3</v>
      </c>
    </row>
    <row r="26" spans="1:26" x14ac:dyDescent="0.3">
      <c r="A26" s="5">
        <v>19</v>
      </c>
      <c r="B26" s="5">
        <v>5.9999999999999995E-4</v>
      </c>
      <c r="C26" s="5">
        <v>6.2E-4</v>
      </c>
      <c r="D26" s="5">
        <v>6.6E-4</v>
      </c>
      <c r="E26" s="5">
        <v>6.3000000000000003E-4</v>
      </c>
      <c r="F26" s="5">
        <v>6.2E-4</v>
      </c>
      <c r="G26" s="5">
        <v>6.0999999999999997E-4</v>
      </c>
      <c r="H26" s="5">
        <v>6.0999999999999997E-4</v>
      </c>
      <c r="I26" s="5">
        <v>5.5999999999999995E-4</v>
      </c>
      <c r="J26" s="5">
        <v>4.8999999999999998E-4</v>
      </c>
      <c r="K26" s="5">
        <v>4.6000000000000001E-4</v>
      </c>
      <c r="L26" s="5">
        <v>4.6000000000000001E-4</v>
      </c>
      <c r="M26" s="5">
        <v>4.4999999999999999E-4</v>
      </c>
      <c r="N26" s="5">
        <v>4.4999999999999999E-4</v>
      </c>
      <c r="O26" s="5">
        <v>5.0000000000000001E-4</v>
      </c>
      <c r="P26" s="5">
        <v>5.5000000000000003E-4</v>
      </c>
      <c r="Q26" s="5">
        <v>5.9000000000000003E-4</v>
      </c>
      <c r="R26" s="5">
        <v>6.8000000000000005E-4</v>
      </c>
      <c r="S26" s="5">
        <v>8.0000000000000004E-4</v>
      </c>
      <c r="T26" s="5">
        <v>9.2000000000000003E-4</v>
      </c>
      <c r="U26" s="5">
        <v>1.0399999999999999E-3</v>
      </c>
      <c r="V26" s="5">
        <v>1.14E-3</v>
      </c>
      <c r="W26" s="5">
        <v>1.1999999999999999E-3</v>
      </c>
      <c r="X26" s="5">
        <v>1.2700000000000001E-3</v>
      </c>
      <c r="Y26" s="5">
        <v>1.3500000000000001E-3</v>
      </c>
      <c r="Z26" s="5">
        <v>1.4400000000000001E-3</v>
      </c>
    </row>
    <row r="27" spans="1:26" x14ac:dyDescent="0.3">
      <c r="A27" s="5">
        <v>20</v>
      </c>
      <c r="B27" s="5">
        <v>5.1000000000000004E-4</v>
      </c>
      <c r="C27" s="5">
        <v>5.6999999999999998E-4</v>
      </c>
      <c r="D27" s="5">
        <v>5.6999999999999998E-4</v>
      </c>
      <c r="E27" s="5">
        <v>5.5000000000000003E-4</v>
      </c>
      <c r="F27" s="5">
        <v>5.2999999999999998E-4</v>
      </c>
      <c r="G27" s="5">
        <v>5.1999999999999995E-4</v>
      </c>
      <c r="H27" s="5">
        <v>5.1000000000000004E-4</v>
      </c>
      <c r="I27" s="5">
        <v>4.6999999999999999E-4</v>
      </c>
      <c r="J27" s="5">
        <v>4.2999999999999999E-4</v>
      </c>
      <c r="K27" s="5">
        <v>4.4000000000000002E-4</v>
      </c>
      <c r="L27" s="5">
        <v>4.4000000000000002E-4</v>
      </c>
      <c r="M27" s="5">
        <v>4.4999999999999999E-4</v>
      </c>
      <c r="N27" s="5">
        <v>4.6000000000000001E-4</v>
      </c>
      <c r="O27" s="5">
        <v>5.1000000000000004E-4</v>
      </c>
      <c r="P27" s="5">
        <v>5.6999999999999998E-4</v>
      </c>
      <c r="Q27" s="5">
        <v>6.2E-4</v>
      </c>
      <c r="R27" s="5">
        <v>7.1000000000000002E-4</v>
      </c>
      <c r="S27" s="5">
        <v>8.1999999999999998E-4</v>
      </c>
      <c r="T27" s="5">
        <v>9.3999999999999997E-4</v>
      </c>
      <c r="U27" s="5">
        <v>1.07E-3</v>
      </c>
      <c r="V27" s="5">
        <v>1.16E-3</v>
      </c>
      <c r="W27" s="5">
        <v>1.2199999999999999E-3</v>
      </c>
      <c r="X27" s="5">
        <v>1.2899999999999999E-3</v>
      </c>
      <c r="Y27" s="5">
        <v>1.3799999999999999E-3</v>
      </c>
      <c r="Z27" s="5">
        <v>1.49E-3</v>
      </c>
    </row>
    <row r="28" spans="1:26" x14ac:dyDescent="0.3">
      <c r="A28" s="5">
        <v>21</v>
      </c>
      <c r="B28" s="5">
        <v>4.4999999999999999E-4</v>
      </c>
      <c r="C28" s="5">
        <v>5.1999999999999995E-4</v>
      </c>
      <c r="D28" s="5">
        <v>4.6999999999999999E-4</v>
      </c>
      <c r="E28" s="5">
        <v>4.4000000000000002E-4</v>
      </c>
      <c r="F28" s="5">
        <v>4.2999999999999999E-4</v>
      </c>
      <c r="G28" s="5">
        <v>4.2999999999999999E-4</v>
      </c>
      <c r="H28" s="5">
        <v>4.2000000000000002E-4</v>
      </c>
      <c r="I28" s="5">
        <v>4.0000000000000002E-4</v>
      </c>
      <c r="J28" s="5">
        <v>3.8000000000000002E-4</v>
      </c>
      <c r="K28" s="5">
        <v>4.0999999999999999E-4</v>
      </c>
      <c r="L28" s="5">
        <v>4.2999999999999999E-4</v>
      </c>
      <c r="M28" s="5">
        <v>4.4999999999999999E-4</v>
      </c>
      <c r="N28" s="5">
        <v>4.8000000000000001E-4</v>
      </c>
      <c r="O28" s="5">
        <v>5.2999999999999998E-4</v>
      </c>
      <c r="P28" s="5">
        <v>5.9000000000000003E-4</v>
      </c>
      <c r="Q28" s="5">
        <v>6.4000000000000005E-4</v>
      </c>
      <c r="R28" s="5">
        <v>7.2999999999999996E-4</v>
      </c>
      <c r="S28" s="5">
        <v>8.4000000000000003E-4</v>
      </c>
      <c r="T28" s="5">
        <v>9.7000000000000005E-4</v>
      </c>
      <c r="U28" s="5">
        <v>1.09E-3</v>
      </c>
      <c r="V28" s="5">
        <v>1.17E-3</v>
      </c>
      <c r="W28" s="5">
        <v>1.23E-3</v>
      </c>
      <c r="X28" s="5">
        <v>1.2999999999999999E-3</v>
      </c>
      <c r="Y28" s="5">
        <v>1.41E-3</v>
      </c>
      <c r="Z28" s="5">
        <v>1.5299999999999999E-3</v>
      </c>
    </row>
    <row r="29" spans="1:26" x14ac:dyDescent="0.3">
      <c r="A29" s="5">
        <v>22</v>
      </c>
      <c r="B29" s="5">
        <v>4.0999999999999999E-4</v>
      </c>
      <c r="C29" s="5">
        <v>4.2999999999999999E-4</v>
      </c>
      <c r="D29" s="5">
        <v>3.8999999999999999E-4</v>
      </c>
      <c r="E29" s="5">
        <v>3.6999999999999999E-4</v>
      </c>
      <c r="F29" s="5">
        <v>3.6000000000000002E-4</v>
      </c>
      <c r="G29" s="5">
        <v>3.6000000000000002E-4</v>
      </c>
      <c r="H29" s="5">
        <v>3.6000000000000002E-4</v>
      </c>
      <c r="I29" s="5">
        <v>3.5E-4</v>
      </c>
      <c r="J29" s="5">
        <v>3.5E-4</v>
      </c>
      <c r="K29" s="5">
        <v>4.0000000000000002E-4</v>
      </c>
      <c r="L29" s="5">
        <v>4.2999999999999999E-4</v>
      </c>
      <c r="M29" s="5">
        <v>4.6000000000000001E-4</v>
      </c>
      <c r="N29" s="5">
        <v>4.8999999999999998E-4</v>
      </c>
      <c r="O29" s="5">
        <v>5.5999999999999995E-4</v>
      </c>
      <c r="P29" s="5">
        <v>6.2E-4</v>
      </c>
      <c r="Q29" s="5">
        <v>6.6E-4</v>
      </c>
      <c r="R29" s="5">
        <v>7.6000000000000004E-4</v>
      </c>
      <c r="S29" s="5">
        <v>8.8000000000000003E-4</v>
      </c>
      <c r="T29" s="5">
        <v>1.01E-3</v>
      </c>
      <c r="U29" s="5">
        <v>1.1100000000000001E-3</v>
      </c>
      <c r="V29" s="5">
        <v>1.17E-3</v>
      </c>
      <c r="W29" s="5">
        <v>1.23E-3</v>
      </c>
      <c r="X29" s="5">
        <v>1.2999999999999999E-3</v>
      </c>
      <c r="Y29" s="5">
        <v>1.4300000000000001E-3</v>
      </c>
      <c r="Z29" s="5">
        <v>1.58E-3</v>
      </c>
    </row>
    <row r="30" spans="1:26" x14ac:dyDescent="0.3">
      <c r="A30" s="5">
        <v>23</v>
      </c>
      <c r="B30" s="5">
        <v>3.5E-4</v>
      </c>
      <c r="C30" s="5">
        <v>3.6000000000000002E-4</v>
      </c>
      <c r="D30" s="5">
        <v>3.3E-4</v>
      </c>
      <c r="E30" s="5">
        <v>3.1E-4</v>
      </c>
      <c r="F30" s="5">
        <v>3.1E-4</v>
      </c>
      <c r="G30" s="5">
        <v>3.1E-4</v>
      </c>
      <c r="H30" s="5">
        <v>3.1E-4</v>
      </c>
      <c r="I30" s="5">
        <v>3.3E-4</v>
      </c>
      <c r="J30" s="5">
        <v>3.4000000000000002E-4</v>
      </c>
      <c r="K30" s="5">
        <v>4.0000000000000002E-4</v>
      </c>
      <c r="L30" s="5">
        <v>4.2999999999999999E-4</v>
      </c>
      <c r="M30" s="5">
        <v>4.6999999999999999E-4</v>
      </c>
      <c r="N30" s="5">
        <v>5.1999999999999995E-4</v>
      </c>
      <c r="O30" s="5">
        <v>5.9000000000000003E-4</v>
      </c>
      <c r="P30" s="5">
        <v>6.4000000000000005E-4</v>
      </c>
      <c r="Q30" s="5">
        <v>6.8999999999999997E-4</v>
      </c>
      <c r="R30" s="5">
        <v>7.9000000000000001E-4</v>
      </c>
      <c r="S30" s="5">
        <v>9.2000000000000003E-4</v>
      </c>
      <c r="T30" s="5">
        <v>1.0399999999999999E-3</v>
      </c>
      <c r="U30" s="5">
        <v>1.1199999999999999E-3</v>
      </c>
      <c r="V30" s="5">
        <v>1.1800000000000001E-3</v>
      </c>
      <c r="W30" s="5">
        <v>1.23E-3</v>
      </c>
      <c r="X30" s="5">
        <v>1.31E-3</v>
      </c>
      <c r="Y30" s="5">
        <v>1.4499999999999999E-3</v>
      </c>
      <c r="Z30" s="5">
        <v>1.6299999999999999E-3</v>
      </c>
    </row>
    <row r="31" spans="1:26" x14ac:dyDescent="0.3">
      <c r="A31" s="5">
        <v>24</v>
      </c>
      <c r="B31" s="5">
        <v>2.9999999999999997E-4</v>
      </c>
      <c r="C31" s="5">
        <v>3.1E-4</v>
      </c>
      <c r="D31" s="5">
        <v>2.7999999999999998E-4</v>
      </c>
      <c r="E31" s="5">
        <v>2.7E-4</v>
      </c>
      <c r="F31" s="5">
        <v>2.7E-4</v>
      </c>
      <c r="G31" s="5">
        <v>2.7E-4</v>
      </c>
      <c r="H31" s="5">
        <v>2.9E-4</v>
      </c>
      <c r="I31" s="5">
        <v>3.2000000000000003E-4</v>
      </c>
      <c r="J31" s="5">
        <v>3.4000000000000002E-4</v>
      </c>
      <c r="K31" s="5">
        <v>4.0999999999999999E-4</v>
      </c>
      <c r="L31" s="5">
        <v>4.4999999999999999E-4</v>
      </c>
      <c r="M31" s="5">
        <v>5.0000000000000001E-4</v>
      </c>
      <c r="N31" s="5">
        <v>5.5000000000000003E-4</v>
      </c>
      <c r="O31" s="5">
        <v>6.0999999999999997E-4</v>
      </c>
      <c r="P31" s="5">
        <v>6.7000000000000002E-4</v>
      </c>
      <c r="Q31" s="5">
        <v>7.2999999999999996E-4</v>
      </c>
      <c r="R31" s="5">
        <v>8.4000000000000003E-4</v>
      </c>
      <c r="S31" s="5">
        <v>9.7000000000000005E-4</v>
      </c>
      <c r="T31" s="5">
        <v>1.07E-3</v>
      </c>
      <c r="U31" s="5">
        <v>1.1199999999999999E-3</v>
      </c>
      <c r="V31" s="5">
        <v>1.1900000000000001E-3</v>
      </c>
      <c r="W31" s="5">
        <v>1.24E-3</v>
      </c>
      <c r="X31" s="5">
        <v>1.3500000000000001E-3</v>
      </c>
      <c r="Y31" s="5">
        <v>1.5100000000000001E-3</v>
      </c>
      <c r="Z31" s="5">
        <v>1.6999999999999999E-3</v>
      </c>
    </row>
    <row r="32" spans="1:26" x14ac:dyDescent="0.3">
      <c r="A32" s="5">
        <v>25</v>
      </c>
      <c r="B32" s="5">
        <v>2.5999999999999998E-4</v>
      </c>
      <c r="C32" s="5">
        <v>2.7E-4</v>
      </c>
      <c r="D32" s="5">
        <v>2.5000000000000001E-4</v>
      </c>
      <c r="E32" s="5">
        <v>2.5000000000000001E-4</v>
      </c>
      <c r="F32" s="5">
        <v>2.5000000000000001E-4</v>
      </c>
      <c r="G32" s="5">
        <v>2.5999999999999998E-4</v>
      </c>
      <c r="H32" s="5">
        <v>2.7999999999999998E-4</v>
      </c>
      <c r="I32" s="5">
        <v>3.2000000000000003E-4</v>
      </c>
      <c r="J32" s="5">
        <v>3.5E-4</v>
      </c>
      <c r="K32" s="5">
        <v>4.2000000000000002E-4</v>
      </c>
      <c r="L32" s="5">
        <v>4.6999999999999999E-4</v>
      </c>
      <c r="M32" s="5">
        <v>5.2999999999999998E-4</v>
      </c>
      <c r="N32" s="5">
        <v>5.8E-4</v>
      </c>
      <c r="O32" s="5">
        <v>6.4999999999999997E-4</v>
      </c>
      <c r="P32" s="5">
        <v>7.1000000000000002E-4</v>
      </c>
      <c r="Q32" s="5">
        <v>7.7999999999999999E-4</v>
      </c>
      <c r="R32" s="5">
        <v>8.9999999999999998E-4</v>
      </c>
      <c r="S32" s="5">
        <v>1.0200000000000001E-3</v>
      </c>
      <c r="T32" s="5">
        <v>1.09E-3</v>
      </c>
      <c r="U32" s="5">
        <v>1.1299999999999999E-3</v>
      </c>
      <c r="V32" s="5">
        <v>1.1900000000000001E-3</v>
      </c>
      <c r="W32" s="5">
        <v>1.2800000000000001E-3</v>
      </c>
      <c r="X32" s="5">
        <v>1.4300000000000001E-3</v>
      </c>
      <c r="Y32" s="5">
        <v>1.6100000000000001E-3</v>
      </c>
      <c r="Z32" s="5">
        <v>1.8E-3</v>
      </c>
    </row>
    <row r="33" spans="1:26" x14ac:dyDescent="0.3">
      <c r="A33" s="5">
        <v>26</v>
      </c>
      <c r="B33" s="5">
        <v>2.2000000000000001E-4</v>
      </c>
      <c r="C33" s="5">
        <v>2.4000000000000001E-4</v>
      </c>
      <c r="D33" s="5">
        <v>2.3000000000000001E-4</v>
      </c>
      <c r="E33" s="5">
        <v>2.4000000000000001E-4</v>
      </c>
      <c r="F33" s="5">
        <v>2.4000000000000001E-4</v>
      </c>
      <c r="G33" s="5">
        <v>2.5999999999999998E-4</v>
      </c>
      <c r="H33" s="5">
        <v>2.9E-4</v>
      </c>
      <c r="I33" s="5">
        <v>3.3E-4</v>
      </c>
      <c r="J33" s="5">
        <v>3.6000000000000002E-4</v>
      </c>
      <c r="K33" s="5">
        <v>4.4999999999999999E-4</v>
      </c>
      <c r="L33" s="5">
        <v>5.1000000000000004E-4</v>
      </c>
      <c r="M33" s="5">
        <v>5.6999999999999998E-4</v>
      </c>
      <c r="N33" s="5">
        <v>6.2E-4</v>
      </c>
      <c r="O33" s="5">
        <v>6.8999999999999997E-4</v>
      </c>
      <c r="P33" s="5">
        <v>7.6999999999999996E-4</v>
      </c>
      <c r="Q33" s="5">
        <v>8.4999999999999995E-4</v>
      </c>
      <c r="R33" s="5">
        <v>9.7000000000000005E-4</v>
      </c>
      <c r="S33" s="5">
        <v>1.06E-3</v>
      </c>
      <c r="T33" s="5">
        <v>1.1100000000000001E-3</v>
      </c>
      <c r="U33" s="5">
        <v>1.16E-3</v>
      </c>
      <c r="V33" s="5">
        <v>1.24E-3</v>
      </c>
      <c r="W33" s="5">
        <v>1.3699999999999999E-3</v>
      </c>
      <c r="X33" s="5">
        <v>1.5499999999999999E-3</v>
      </c>
      <c r="Y33" s="5">
        <v>1.74E-3</v>
      </c>
      <c r="Z33" s="5">
        <v>1.9499999999999999E-3</v>
      </c>
    </row>
    <row r="34" spans="1:26" x14ac:dyDescent="0.3">
      <c r="A34" s="5">
        <v>27</v>
      </c>
      <c r="B34" s="5">
        <v>2.0000000000000001E-4</v>
      </c>
      <c r="C34" s="5">
        <v>2.2000000000000001E-4</v>
      </c>
      <c r="D34" s="5">
        <v>2.2000000000000001E-4</v>
      </c>
      <c r="E34" s="5">
        <v>2.4000000000000001E-4</v>
      </c>
      <c r="F34" s="5">
        <v>2.5000000000000001E-4</v>
      </c>
      <c r="G34" s="5">
        <v>2.7E-4</v>
      </c>
      <c r="H34" s="5">
        <v>3.1E-4</v>
      </c>
      <c r="I34" s="5">
        <v>3.5E-4</v>
      </c>
      <c r="J34" s="5">
        <v>3.8999999999999999E-4</v>
      </c>
      <c r="K34" s="5">
        <v>4.8000000000000001E-4</v>
      </c>
      <c r="L34" s="5">
        <v>5.5000000000000003E-4</v>
      </c>
      <c r="M34" s="5">
        <v>6.2E-4</v>
      </c>
      <c r="N34" s="5">
        <v>6.7000000000000002E-4</v>
      </c>
      <c r="O34" s="5">
        <v>7.5000000000000002E-4</v>
      </c>
      <c r="P34" s="5">
        <v>8.3000000000000001E-4</v>
      </c>
      <c r="Q34" s="5">
        <v>9.1E-4</v>
      </c>
      <c r="R34" s="5">
        <v>1.0200000000000001E-3</v>
      </c>
      <c r="S34" s="5">
        <v>1.1000000000000001E-3</v>
      </c>
      <c r="T34" s="5">
        <v>1.15E-3</v>
      </c>
      <c r="U34" s="5">
        <v>1.2199999999999999E-3</v>
      </c>
      <c r="V34" s="5">
        <v>1.33E-3</v>
      </c>
      <c r="W34" s="5">
        <v>1.49E-3</v>
      </c>
      <c r="X34" s="5">
        <v>1.6800000000000001E-3</v>
      </c>
      <c r="Y34" s="5">
        <v>1.89E-3</v>
      </c>
      <c r="Z34" s="5">
        <v>2.1199999999999999E-3</v>
      </c>
    </row>
    <row r="35" spans="1:26" x14ac:dyDescent="0.3">
      <c r="A35" s="5">
        <v>28</v>
      </c>
      <c r="B35" s="5">
        <v>1.8000000000000001E-4</v>
      </c>
      <c r="C35" s="5">
        <v>2.0000000000000001E-4</v>
      </c>
      <c r="D35" s="5">
        <v>2.1000000000000001E-4</v>
      </c>
      <c r="E35" s="5">
        <v>2.5000000000000001E-4</v>
      </c>
      <c r="F35" s="5">
        <v>2.7E-4</v>
      </c>
      <c r="G35" s="5">
        <v>2.9999999999999997E-4</v>
      </c>
      <c r="H35" s="5">
        <v>3.3E-4</v>
      </c>
      <c r="I35" s="5">
        <v>3.8000000000000002E-4</v>
      </c>
      <c r="J35" s="5">
        <v>4.2000000000000002E-4</v>
      </c>
      <c r="K35" s="5">
        <v>5.2999999999999998E-4</v>
      </c>
      <c r="L35" s="5">
        <v>5.9999999999999995E-4</v>
      </c>
      <c r="M35" s="5">
        <v>6.7000000000000002E-4</v>
      </c>
      <c r="N35" s="5">
        <v>7.2000000000000005E-4</v>
      </c>
      <c r="O35" s="5">
        <v>8.0999999999999996E-4</v>
      </c>
      <c r="P35" s="5">
        <v>8.9999999999999998E-4</v>
      </c>
      <c r="Q35" s="5">
        <v>9.7000000000000005E-4</v>
      </c>
      <c r="R35" s="5">
        <v>1.07E-3</v>
      </c>
      <c r="S35" s="5">
        <v>1.14E-3</v>
      </c>
      <c r="T35" s="5">
        <v>1.2199999999999999E-3</v>
      </c>
      <c r="U35" s="5">
        <v>1.31E-3</v>
      </c>
      <c r="V35" s="5">
        <v>1.4499999999999999E-3</v>
      </c>
      <c r="W35" s="5">
        <v>1.6299999999999999E-3</v>
      </c>
      <c r="X35" s="5">
        <v>1.8400000000000001E-3</v>
      </c>
      <c r="Y35" s="5">
        <v>2.0600000000000002E-3</v>
      </c>
      <c r="Z35" s="5">
        <v>2.31E-3</v>
      </c>
    </row>
    <row r="36" spans="1:26" x14ac:dyDescent="0.3">
      <c r="A36" s="5">
        <v>29</v>
      </c>
      <c r="B36" s="5">
        <v>1.6000000000000001E-4</v>
      </c>
      <c r="C36" s="5">
        <v>1.8000000000000001E-4</v>
      </c>
      <c r="D36" s="5">
        <v>2.2000000000000001E-4</v>
      </c>
      <c r="E36" s="5">
        <v>2.5000000000000001E-4</v>
      </c>
      <c r="F36" s="5">
        <v>2.7999999999999998E-4</v>
      </c>
      <c r="G36" s="5">
        <v>3.1E-4</v>
      </c>
      <c r="H36" s="5">
        <v>3.4000000000000002E-4</v>
      </c>
      <c r="I36" s="5">
        <v>3.8999999999999999E-4</v>
      </c>
      <c r="J36" s="5">
        <v>4.4000000000000002E-4</v>
      </c>
      <c r="K36" s="5">
        <v>5.5000000000000003E-4</v>
      </c>
      <c r="L36" s="5">
        <v>6.3000000000000003E-4</v>
      </c>
      <c r="M36" s="5">
        <v>6.8999999999999997E-4</v>
      </c>
      <c r="N36" s="5">
        <v>7.5000000000000002E-4</v>
      </c>
      <c r="O36" s="5">
        <v>8.4000000000000003E-4</v>
      </c>
      <c r="P36" s="5">
        <v>9.3000000000000005E-4</v>
      </c>
      <c r="Q36" s="5">
        <v>1.01E-3</v>
      </c>
      <c r="R36" s="5">
        <v>1.1199999999999999E-3</v>
      </c>
      <c r="S36" s="5">
        <v>1.2099999999999999E-3</v>
      </c>
      <c r="T36" s="5">
        <v>1.2999999999999999E-3</v>
      </c>
      <c r="U36" s="5">
        <v>1.42E-3</v>
      </c>
      <c r="V36" s="5">
        <v>1.58E-3</v>
      </c>
      <c r="W36" s="5">
        <v>1.7799999999999999E-3</v>
      </c>
      <c r="X36" s="5">
        <v>2E-3</v>
      </c>
      <c r="Y36" s="5">
        <v>2.2499999999999998E-3</v>
      </c>
      <c r="Z36" s="5">
        <v>2.5300000000000001E-3</v>
      </c>
    </row>
    <row r="37" spans="1:26" x14ac:dyDescent="0.3">
      <c r="A37" s="5">
        <v>30</v>
      </c>
      <c r="B37" s="5">
        <v>1.4999999999999999E-4</v>
      </c>
      <c r="C37" s="5">
        <v>1.6000000000000001E-4</v>
      </c>
      <c r="D37" s="5">
        <v>2.2000000000000001E-4</v>
      </c>
      <c r="E37" s="5">
        <v>2.5999999999999998E-4</v>
      </c>
      <c r="F37" s="5">
        <v>2.7999999999999998E-4</v>
      </c>
      <c r="G37" s="5">
        <v>3.1E-4</v>
      </c>
      <c r="H37" s="5">
        <v>3.4000000000000002E-4</v>
      </c>
      <c r="I37" s="5">
        <v>4.0000000000000002E-4</v>
      </c>
      <c r="J37" s="5">
        <v>4.6999999999999999E-4</v>
      </c>
      <c r="K37" s="5">
        <v>5.6999999999999998E-4</v>
      </c>
      <c r="L37" s="5">
        <v>6.4999999999999997E-4</v>
      </c>
      <c r="M37" s="5">
        <v>6.9999999999999999E-4</v>
      </c>
      <c r="N37" s="5">
        <v>7.6000000000000004E-4</v>
      </c>
      <c r="O37" s="5">
        <v>8.5999999999999998E-4</v>
      </c>
      <c r="P37" s="5">
        <v>9.5E-4</v>
      </c>
      <c r="Q37" s="5">
        <v>1.07E-3</v>
      </c>
      <c r="R37" s="5">
        <v>1.1900000000000001E-3</v>
      </c>
      <c r="S37" s="5">
        <v>1.2899999999999999E-3</v>
      </c>
      <c r="T37" s="5">
        <v>1.39E-3</v>
      </c>
      <c r="U37" s="5">
        <v>1.5399999999999999E-3</v>
      </c>
      <c r="V37" s="5">
        <v>1.72E-3</v>
      </c>
      <c r="W37" s="5">
        <v>1.9400000000000001E-3</v>
      </c>
      <c r="X37" s="5">
        <v>2.1900000000000001E-3</v>
      </c>
      <c r="Y37" s="5">
        <v>2.4599999999999999E-3</v>
      </c>
      <c r="Z37" s="5">
        <v>2.7499999999999998E-3</v>
      </c>
    </row>
    <row r="38" spans="1:26" x14ac:dyDescent="0.3">
      <c r="A38" s="5">
        <v>31</v>
      </c>
      <c r="B38" s="5">
        <v>1.3999999999999999E-4</v>
      </c>
      <c r="C38" s="5">
        <v>1.4999999999999999E-4</v>
      </c>
      <c r="D38" s="5">
        <v>2.2000000000000001E-4</v>
      </c>
      <c r="E38" s="5">
        <v>2.5999999999999998E-4</v>
      </c>
      <c r="F38" s="5">
        <v>2.9E-4</v>
      </c>
      <c r="G38" s="5">
        <v>3.2000000000000003E-4</v>
      </c>
      <c r="H38" s="5">
        <v>3.6000000000000002E-4</v>
      </c>
      <c r="I38" s="5">
        <v>4.2000000000000002E-4</v>
      </c>
      <c r="J38" s="5">
        <v>5.1999999999999995E-4</v>
      </c>
      <c r="K38" s="5">
        <v>6.0999999999999997E-4</v>
      </c>
      <c r="L38" s="5">
        <v>6.8000000000000005E-4</v>
      </c>
      <c r="M38" s="5">
        <v>7.2999999999999996E-4</v>
      </c>
      <c r="N38" s="5">
        <v>8.0000000000000004E-4</v>
      </c>
      <c r="O38" s="5">
        <v>8.8999999999999995E-4</v>
      </c>
      <c r="P38" s="5">
        <v>1E-3</v>
      </c>
      <c r="Q38" s="5">
        <v>1.1299999999999999E-3</v>
      </c>
      <c r="R38" s="5">
        <v>1.2600000000000001E-3</v>
      </c>
      <c r="S38" s="5">
        <v>1.3699999999999999E-3</v>
      </c>
      <c r="T38" s="5">
        <v>1.5E-3</v>
      </c>
      <c r="U38" s="5">
        <v>1.66E-3</v>
      </c>
      <c r="V38" s="5">
        <v>1.8699999999999999E-3</v>
      </c>
      <c r="W38" s="5">
        <v>2.1199999999999999E-3</v>
      </c>
      <c r="X38" s="5">
        <v>2.3900000000000002E-3</v>
      </c>
      <c r="Y38" s="5">
        <v>2.6800000000000001E-3</v>
      </c>
      <c r="Z38" s="5">
        <v>2.97E-3</v>
      </c>
    </row>
    <row r="39" spans="1:26" x14ac:dyDescent="0.3">
      <c r="A39" s="5">
        <v>32</v>
      </c>
      <c r="B39" s="5">
        <v>1.3999999999999999E-4</v>
      </c>
      <c r="C39" s="5">
        <v>1.4999999999999999E-4</v>
      </c>
      <c r="D39" s="5">
        <v>2.3000000000000001E-4</v>
      </c>
      <c r="E39" s="5">
        <v>2.7999999999999998E-4</v>
      </c>
      <c r="F39" s="5">
        <v>3.1E-4</v>
      </c>
      <c r="G39" s="5">
        <v>3.4000000000000002E-4</v>
      </c>
      <c r="H39" s="5">
        <v>4.0000000000000002E-4</v>
      </c>
      <c r="I39" s="5">
        <v>4.6000000000000001E-4</v>
      </c>
      <c r="J39" s="5">
        <v>5.6999999999999998E-4</v>
      </c>
      <c r="K39" s="5">
        <v>6.6E-4</v>
      </c>
      <c r="L39" s="5">
        <v>7.1000000000000002E-4</v>
      </c>
      <c r="M39" s="5">
        <v>7.6000000000000004E-4</v>
      </c>
      <c r="N39" s="5">
        <v>8.4000000000000003E-4</v>
      </c>
      <c r="O39" s="5">
        <v>9.3999999999999997E-4</v>
      </c>
      <c r="P39" s="5">
        <v>1.07E-3</v>
      </c>
      <c r="Q39" s="5">
        <v>1.2099999999999999E-3</v>
      </c>
      <c r="R39" s="5">
        <v>1.34E-3</v>
      </c>
      <c r="S39" s="5">
        <v>1.47E-3</v>
      </c>
      <c r="T39" s="5">
        <v>1.6100000000000001E-3</v>
      </c>
      <c r="U39" s="5">
        <v>1.8E-3</v>
      </c>
      <c r="V39" s="5">
        <v>2.0300000000000001E-3</v>
      </c>
      <c r="W39" s="5">
        <v>2.3E-3</v>
      </c>
      <c r="X39" s="5">
        <v>2.5999999999999999E-3</v>
      </c>
      <c r="Y39" s="5">
        <v>2.8999999999999998E-3</v>
      </c>
      <c r="Z39" s="5">
        <v>3.1800000000000001E-3</v>
      </c>
    </row>
    <row r="40" spans="1:26" x14ac:dyDescent="0.3">
      <c r="A40" s="5">
        <v>33</v>
      </c>
      <c r="B40" s="5">
        <v>1.3999999999999999E-4</v>
      </c>
      <c r="C40" s="5">
        <v>1.6000000000000001E-4</v>
      </c>
      <c r="D40" s="5">
        <v>2.5000000000000001E-4</v>
      </c>
      <c r="E40" s="5">
        <v>2.9E-4</v>
      </c>
      <c r="F40" s="5">
        <v>3.2000000000000003E-4</v>
      </c>
      <c r="G40" s="5">
        <v>3.6999999999999999E-4</v>
      </c>
      <c r="H40" s="5">
        <v>4.4000000000000002E-4</v>
      </c>
      <c r="I40" s="5">
        <v>5.1000000000000004E-4</v>
      </c>
      <c r="J40" s="5">
        <v>6.2E-4</v>
      </c>
      <c r="K40" s="5">
        <v>6.9999999999999999E-4</v>
      </c>
      <c r="L40" s="5">
        <v>7.5000000000000002E-4</v>
      </c>
      <c r="M40" s="5">
        <v>8.0000000000000004E-4</v>
      </c>
      <c r="N40" s="5">
        <v>8.8999999999999995E-4</v>
      </c>
      <c r="O40" s="5">
        <v>1.01E-3</v>
      </c>
      <c r="P40" s="5">
        <v>1.14E-3</v>
      </c>
      <c r="Q40" s="5">
        <v>1.2899999999999999E-3</v>
      </c>
      <c r="R40" s="5">
        <v>1.4300000000000001E-3</v>
      </c>
      <c r="S40" s="5">
        <v>1.57E-3</v>
      </c>
      <c r="T40" s="5">
        <v>1.73E-3</v>
      </c>
      <c r="U40" s="5">
        <v>1.9400000000000001E-3</v>
      </c>
      <c r="V40" s="5">
        <v>2.2100000000000002E-3</v>
      </c>
      <c r="W40" s="5">
        <v>2.5100000000000001E-3</v>
      </c>
      <c r="X40" s="5">
        <v>2.82E-3</v>
      </c>
      <c r="Y40" s="5">
        <v>3.13E-3</v>
      </c>
      <c r="Z40" s="5">
        <v>3.3999999999999998E-3</v>
      </c>
    </row>
    <row r="41" spans="1:26" x14ac:dyDescent="0.3">
      <c r="A41" s="5">
        <v>34</v>
      </c>
      <c r="B41" s="5">
        <v>1.4999999999999999E-4</v>
      </c>
      <c r="C41" s="5">
        <v>1.7000000000000001E-4</v>
      </c>
      <c r="D41" s="5">
        <v>2.7E-4</v>
      </c>
      <c r="E41" s="5">
        <v>3.1E-4</v>
      </c>
      <c r="F41" s="5">
        <v>3.6000000000000002E-4</v>
      </c>
      <c r="G41" s="5">
        <v>4.0999999999999999E-4</v>
      </c>
      <c r="H41" s="5">
        <v>4.6999999999999999E-4</v>
      </c>
      <c r="I41" s="5">
        <v>5.6999999999999998E-4</v>
      </c>
      <c r="J41" s="5">
        <v>6.6E-4</v>
      </c>
      <c r="K41" s="5">
        <v>7.2999999999999996E-4</v>
      </c>
      <c r="L41" s="5">
        <v>7.7999999999999999E-4</v>
      </c>
      <c r="M41" s="5">
        <v>8.4999999999999995E-4</v>
      </c>
      <c r="N41" s="5">
        <v>9.6000000000000002E-4</v>
      </c>
      <c r="O41" s="5">
        <v>1.09E-3</v>
      </c>
      <c r="P41" s="5">
        <v>1.2199999999999999E-3</v>
      </c>
      <c r="Q41" s="5">
        <v>1.3699999999999999E-3</v>
      </c>
      <c r="R41" s="5">
        <v>1.5299999999999999E-3</v>
      </c>
      <c r="S41" s="5">
        <v>1.6800000000000001E-3</v>
      </c>
      <c r="T41" s="5">
        <v>1.8699999999999999E-3</v>
      </c>
      <c r="U41" s="5">
        <v>2.1099999999999999E-3</v>
      </c>
      <c r="V41" s="5">
        <v>2.4099999999999998E-3</v>
      </c>
      <c r="W41" s="5">
        <v>2.7399999999999998E-3</v>
      </c>
      <c r="X41" s="5">
        <v>3.0599999999999998E-3</v>
      </c>
      <c r="Y41" s="5">
        <v>3.3600000000000001E-3</v>
      </c>
      <c r="Z41" s="5">
        <v>3.64E-3</v>
      </c>
    </row>
    <row r="42" spans="1:26" x14ac:dyDescent="0.3">
      <c r="A42" s="5">
        <v>35</v>
      </c>
      <c r="B42" s="5">
        <v>1.4999999999999999E-4</v>
      </c>
      <c r="C42" s="5">
        <v>1.8000000000000001E-4</v>
      </c>
      <c r="D42" s="5">
        <v>2.9E-4</v>
      </c>
      <c r="E42" s="5">
        <v>3.4000000000000002E-4</v>
      </c>
      <c r="F42" s="5">
        <v>4.0000000000000002E-4</v>
      </c>
      <c r="G42" s="5">
        <v>4.4999999999999999E-4</v>
      </c>
      <c r="H42" s="5">
        <v>5.1000000000000004E-4</v>
      </c>
      <c r="I42" s="5">
        <v>6.2E-4</v>
      </c>
      <c r="J42" s="5">
        <v>6.9999999999999999E-4</v>
      </c>
      <c r="K42" s="5">
        <v>7.6000000000000004E-4</v>
      </c>
      <c r="L42" s="5">
        <v>8.3000000000000001E-4</v>
      </c>
      <c r="M42" s="5">
        <v>9.2000000000000003E-4</v>
      </c>
      <c r="N42" s="5">
        <v>1.0399999999999999E-3</v>
      </c>
      <c r="O42" s="5">
        <v>1.17E-3</v>
      </c>
      <c r="P42" s="5">
        <v>1.31E-3</v>
      </c>
      <c r="Q42" s="5">
        <v>1.47E-3</v>
      </c>
      <c r="R42" s="5">
        <v>1.6299999999999999E-3</v>
      </c>
      <c r="S42" s="5">
        <v>1.8E-3</v>
      </c>
      <c r="T42" s="5">
        <v>2.0200000000000001E-3</v>
      </c>
      <c r="U42" s="5">
        <v>2.3E-3</v>
      </c>
      <c r="V42" s="5">
        <v>2.64E-3</v>
      </c>
      <c r="W42" s="5">
        <v>2.99E-3</v>
      </c>
      <c r="X42" s="5">
        <v>3.32E-3</v>
      </c>
      <c r="Y42" s="5">
        <v>3.62E-3</v>
      </c>
      <c r="Z42" s="5">
        <v>3.9199999999999999E-3</v>
      </c>
    </row>
    <row r="43" spans="1:26" x14ac:dyDescent="0.3">
      <c r="A43" s="5">
        <v>36</v>
      </c>
      <c r="B43" s="5">
        <v>1.4999999999999999E-4</v>
      </c>
      <c r="C43" s="5">
        <v>2.0000000000000001E-4</v>
      </c>
      <c r="D43" s="5">
        <v>3.1E-4</v>
      </c>
      <c r="E43" s="5">
        <v>3.8000000000000002E-4</v>
      </c>
      <c r="F43" s="5">
        <v>4.4000000000000002E-4</v>
      </c>
      <c r="G43" s="5">
        <v>4.8999999999999998E-4</v>
      </c>
      <c r="H43" s="5">
        <v>5.6999999999999998E-4</v>
      </c>
      <c r="I43" s="5">
        <v>6.7000000000000002E-4</v>
      </c>
      <c r="J43" s="5">
        <v>7.3999999999999999E-4</v>
      </c>
      <c r="K43" s="5">
        <v>8.0999999999999996E-4</v>
      </c>
      <c r="L43" s="5">
        <v>8.9999999999999998E-4</v>
      </c>
      <c r="M43" s="5">
        <v>1E-3</v>
      </c>
      <c r="N43" s="5">
        <v>1.1299999999999999E-3</v>
      </c>
      <c r="O43" s="5">
        <v>1.2700000000000001E-3</v>
      </c>
      <c r="P43" s="5">
        <v>1.42E-3</v>
      </c>
      <c r="Q43" s="5">
        <v>1.58E-3</v>
      </c>
      <c r="R43" s="5">
        <v>1.75E-3</v>
      </c>
      <c r="S43" s="5">
        <v>1.9499999999999999E-3</v>
      </c>
      <c r="T43" s="5">
        <v>2.2100000000000002E-3</v>
      </c>
      <c r="U43" s="5">
        <v>2.5300000000000001E-3</v>
      </c>
      <c r="V43" s="5">
        <v>2.9099999999999998E-3</v>
      </c>
      <c r="W43" s="5">
        <v>3.2699999999999999E-3</v>
      </c>
      <c r="X43" s="5">
        <v>3.6099999999999999E-3</v>
      </c>
      <c r="Y43" s="5">
        <v>3.9199999999999999E-3</v>
      </c>
      <c r="Z43" s="5">
        <v>4.28E-3</v>
      </c>
    </row>
    <row r="44" spans="1:26" x14ac:dyDescent="0.3">
      <c r="A44" s="5">
        <v>37</v>
      </c>
      <c r="B44" s="5">
        <v>1.4999999999999999E-4</v>
      </c>
      <c r="C44" s="5">
        <v>2.1000000000000001E-4</v>
      </c>
      <c r="D44" s="5">
        <v>3.4000000000000002E-4</v>
      </c>
      <c r="E44" s="5">
        <v>4.0999999999999999E-4</v>
      </c>
      <c r="F44" s="5">
        <v>4.8000000000000001E-4</v>
      </c>
      <c r="G44" s="5">
        <v>5.4000000000000001E-4</v>
      </c>
      <c r="H44" s="5">
        <v>6.3000000000000003E-4</v>
      </c>
      <c r="I44" s="5">
        <v>7.1000000000000002E-4</v>
      </c>
      <c r="J44" s="5">
        <v>7.7999999999999999E-4</v>
      </c>
      <c r="K44" s="5">
        <v>8.8000000000000003E-4</v>
      </c>
      <c r="L44" s="5">
        <v>9.8999999999999999E-4</v>
      </c>
      <c r="M44" s="5">
        <v>1.1000000000000001E-3</v>
      </c>
      <c r="N44" s="5">
        <v>1.23E-3</v>
      </c>
      <c r="O44" s="5">
        <v>1.3799999999999999E-3</v>
      </c>
      <c r="P44" s="5">
        <v>1.5299999999999999E-3</v>
      </c>
      <c r="Q44" s="5">
        <v>1.6999999999999999E-3</v>
      </c>
      <c r="R44" s="5">
        <v>1.9E-3</v>
      </c>
      <c r="S44" s="5">
        <v>2.1299999999999999E-3</v>
      </c>
      <c r="T44" s="5">
        <v>2.4399999999999999E-3</v>
      </c>
      <c r="U44" s="5">
        <v>2.81E-3</v>
      </c>
      <c r="V44" s="5">
        <v>3.2100000000000002E-3</v>
      </c>
      <c r="W44" s="5">
        <v>3.5799999999999998E-3</v>
      </c>
      <c r="X44" s="5">
        <v>3.9199999999999999E-3</v>
      </c>
      <c r="Y44" s="5">
        <v>4.28E-3</v>
      </c>
      <c r="Z44" s="5">
        <v>4.7200000000000002E-3</v>
      </c>
    </row>
    <row r="45" spans="1:26" x14ac:dyDescent="0.3">
      <c r="A45" s="5">
        <v>38</v>
      </c>
      <c r="B45" s="5">
        <v>1.4999999999999999E-4</v>
      </c>
      <c r="C45" s="5">
        <v>2.4000000000000001E-4</v>
      </c>
      <c r="D45" s="5">
        <v>3.6999999999999999E-4</v>
      </c>
      <c r="E45" s="5">
        <v>4.4000000000000002E-4</v>
      </c>
      <c r="F45" s="5">
        <v>5.1000000000000004E-4</v>
      </c>
      <c r="G45" s="5">
        <v>5.9999999999999995E-4</v>
      </c>
      <c r="H45" s="5">
        <v>6.8000000000000005E-4</v>
      </c>
      <c r="I45" s="5">
        <v>7.6000000000000004E-4</v>
      </c>
      <c r="J45" s="5">
        <v>8.4999999999999995E-4</v>
      </c>
      <c r="K45" s="5">
        <v>9.7000000000000005E-4</v>
      </c>
      <c r="L45" s="5">
        <v>1.09E-3</v>
      </c>
      <c r="M45" s="5">
        <v>1.2099999999999999E-3</v>
      </c>
      <c r="N45" s="5">
        <v>1.3500000000000001E-3</v>
      </c>
      <c r="O45" s="5">
        <v>1.5100000000000001E-3</v>
      </c>
      <c r="P45" s="5">
        <v>1.67E-3</v>
      </c>
      <c r="Q45" s="5">
        <v>1.8500000000000001E-3</v>
      </c>
      <c r="R45" s="5">
        <v>2.0799999999999998E-3</v>
      </c>
      <c r="S45" s="5">
        <v>2.3600000000000001E-3</v>
      </c>
      <c r="T45" s="5">
        <v>2.7200000000000002E-3</v>
      </c>
      <c r="U45" s="5">
        <v>3.14E-3</v>
      </c>
      <c r="V45" s="5">
        <v>3.5500000000000002E-3</v>
      </c>
      <c r="W45" s="5">
        <v>3.9100000000000003E-3</v>
      </c>
      <c r="X45" s="5">
        <v>4.28E-3</v>
      </c>
      <c r="Y45" s="5">
        <v>4.7000000000000002E-3</v>
      </c>
      <c r="Z45" s="5">
        <v>5.2399999999999999E-3</v>
      </c>
    </row>
    <row r="46" spans="1:26" x14ac:dyDescent="0.3">
      <c r="A46" s="5">
        <v>39</v>
      </c>
      <c r="B46" s="5">
        <v>1.6000000000000001E-4</v>
      </c>
      <c r="C46" s="5">
        <v>2.7999999999999998E-4</v>
      </c>
      <c r="D46" s="5">
        <v>4.0999999999999999E-4</v>
      </c>
      <c r="E46" s="5">
        <v>4.8999999999999998E-4</v>
      </c>
      <c r="F46" s="5">
        <v>5.5999999999999995E-4</v>
      </c>
      <c r="G46" s="5">
        <v>6.4999999999999997E-4</v>
      </c>
      <c r="H46" s="5">
        <v>7.2999999999999996E-4</v>
      </c>
      <c r="I46" s="5">
        <v>8.1999999999999998E-4</v>
      </c>
      <c r="J46" s="5">
        <v>9.3000000000000005E-4</v>
      </c>
      <c r="K46" s="5">
        <v>1.07E-3</v>
      </c>
      <c r="L46" s="5">
        <v>1.1900000000000001E-3</v>
      </c>
      <c r="M46" s="5">
        <v>1.32E-3</v>
      </c>
      <c r="N46" s="5">
        <v>1.48E-3</v>
      </c>
      <c r="O46" s="5">
        <v>1.65E-3</v>
      </c>
      <c r="P46" s="5">
        <v>1.82E-3</v>
      </c>
      <c r="Q46" s="5">
        <v>2.0300000000000001E-3</v>
      </c>
      <c r="R46" s="5">
        <v>2.3E-3</v>
      </c>
      <c r="S46" s="5">
        <v>2.64E-3</v>
      </c>
      <c r="T46" s="5">
        <v>3.0599999999999998E-3</v>
      </c>
      <c r="U46" s="5">
        <v>3.5000000000000001E-3</v>
      </c>
      <c r="V46" s="5">
        <v>3.8999999999999998E-3</v>
      </c>
      <c r="W46" s="5">
        <v>4.28E-3</v>
      </c>
      <c r="X46" s="5">
        <v>4.6800000000000001E-3</v>
      </c>
      <c r="Y46" s="5">
        <v>5.1799999999999997E-3</v>
      </c>
      <c r="Z46" s="5">
        <v>5.8399999999999997E-3</v>
      </c>
    </row>
    <row r="47" spans="1:26" x14ac:dyDescent="0.3">
      <c r="A47" s="5">
        <v>40</v>
      </c>
      <c r="B47" s="5">
        <v>1.8000000000000001E-4</v>
      </c>
      <c r="C47" s="5">
        <v>3.3E-4</v>
      </c>
      <c r="D47" s="5">
        <v>4.4999999999999999E-4</v>
      </c>
      <c r="E47" s="5">
        <v>5.2999999999999998E-4</v>
      </c>
      <c r="F47" s="5">
        <v>6.2E-4</v>
      </c>
      <c r="G47" s="5">
        <v>6.9999999999999999E-4</v>
      </c>
      <c r="H47" s="5">
        <v>7.7999999999999999E-4</v>
      </c>
      <c r="I47" s="5">
        <v>8.8000000000000003E-4</v>
      </c>
      <c r="J47" s="5">
        <v>1.0200000000000001E-3</v>
      </c>
      <c r="K47" s="5">
        <v>1.17E-3</v>
      </c>
      <c r="L47" s="5">
        <v>1.2999999999999999E-3</v>
      </c>
      <c r="M47" s="5">
        <v>1.4400000000000001E-3</v>
      </c>
      <c r="N47" s="5">
        <v>1.6199999999999999E-3</v>
      </c>
      <c r="O47" s="5">
        <v>1.81E-3</v>
      </c>
      <c r="P47" s="5">
        <v>2.0100000000000001E-3</v>
      </c>
      <c r="Q47" s="5">
        <v>2.2599999999999999E-3</v>
      </c>
      <c r="R47" s="5">
        <v>2.5799999999999998E-3</v>
      </c>
      <c r="S47" s="5">
        <v>2.99E-3</v>
      </c>
      <c r="T47" s="5">
        <v>3.4399999999999999E-3</v>
      </c>
      <c r="U47" s="5">
        <v>3.8800000000000002E-3</v>
      </c>
      <c r="V47" s="5">
        <v>4.28E-3</v>
      </c>
      <c r="W47" s="5">
        <v>4.6800000000000001E-3</v>
      </c>
      <c r="X47" s="5">
        <v>5.1200000000000004E-3</v>
      </c>
      <c r="Y47" s="5">
        <v>5.7600000000000004E-3</v>
      </c>
      <c r="Z47" s="5">
        <v>6.4799999999999996E-3</v>
      </c>
    </row>
    <row r="48" spans="1:26" x14ac:dyDescent="0.3">
      <c r="A48" s="5">
        <v>41</v>
      </c>
      <c r="B48" s="5">
        <v>2.1000000000000001E-4</v>
      </c>
      <c r="C48" s="5">
        <v>3.6999999999999999E-4</v>
      </c>
      <c r="D48" s="5">
        <v>4.8999999999999998E-4</v>
      </c>
      <c r="E48" s="5">
        <v>5.6999999999999998E-4</v>
      </c>
      <c r="F48" s="5">
        <v>6.7000000000000002E-4</v>
      </c>
      <c r="G48" s="5">
        <v>7.5000000000000002E-4</v>
      </c>
      <c r="H48" s="5">
        <v>8.4000000000000003E-4</v>
      </c>
      <c r="I48" s="5">
        <v>9.6000000000000002E-4</v>
      </c>
      <c r="J48" s="5">
        <v>1.1100000000000001E-3</v>
      </c>
      <c r="K48" s="5">
        <v>1.2700000000000001E-3</v>
      </c>
      <c r="L48" s="5">
        <v>1.42E-3</v>
      </c>
      <c r="M48" s="5">
        <v>1.57E-3</v>
      </c>
      <c r="N48" s="5">
        <v>1.7799999999999999E-3</v>
      </c>
      <c r="O48" s="5">
        <v>2E-3</v>
      </c>
      <c r="P48" s="5">
        <v>2.2200000000000002E-3</v>
      </c>
      <c r="Q48" s="5">
        <v>2.5200000000000001E-3</v>
      </c>
      <c r="R48" s="5">
        <v>2.9199999999999999E-3</v>
      </c>
      <c r="S48" s="5">
        <v>3.3800000000000002E-3</v>
      </c>
      <c r="T48" s="5">
        <v>3.8500000000000001E-3</v>
      </c>
      <c r="U48" s="5">
        <v>4.28E-3</v>
      </c>
      <c r="V48" s="5">
        <v>4.6699999999999997E-3</v>
      </c>
      <c r="W48" s="5">
        <v>5.0899999999999999E-3</v>
      </c>
      <c r="X48" s="5">
        <v>5.64E-3</v>
      </c>
      <c r="Y48" s="5">
        <v>6.3699999999999998E-3</v>
      </c>
      <c r="Z48" s="5">
        <v>7.1500000000000001E-3</v>
      </c>
    </row>
    <row r="49" spans="1:26" x14ac:dyDescent="0.3">
      <c r="A49" s="5">
        <v>42</v>
      </c>
      <c r="B49" s="5">
        <v>2.4000000000000001E-4</v>
      </c>
      <c r="C49" s="5">
        <v>4.0999999999999999E-4</v>
      </c>
      <c r="D49" s="5">
        <v>5.1999999999999995E-4</v>
      </c>
      <c r="E49" s="5">
        <v>6.2E-4</v>
      </c>
      <c r="F49" s="5">
        <v>7.2000000000000005E-4</v>
      </c>
      <c r="G49" s="5">
        <v>7.9000000000000001E-4</v>
      </c>
      <c r="H49" s="5">
        <v>8.8999999999999995E-4</v>
      </c>
      <c r="I49" s="5">
        <v>1.0399999999999999E-3</v>
      </c>
      <c r="J49" s="5">
        <v>1.2099999999999999E-3</v>
      </c>
      <c r="K49" s="5">
        <v>1.3799999999999999E-3</v>
      </c>
      <c r="L49" s="5">
        <v>1.5299999999999999E-3</v>
      </c>
      <c r="M49" s="5">
        <v>1.7099999999999999E-3</v>
      </c>
      <c r="N49" s="5">
        <v>1.9499999999999999E-3</v>
      </c>
      <c r="O49" s="5">
        <v>2.2000000000000001E-3</v>
      </c>
      <c r="P49" s="5">
        <v>2.47E-3</v>
      </c>
      <c r="Q49" s="5">
        <v>2.8300000000000001E-3</v>
      </c>
      <c r="R49" s="5">
        <v>3.3E-3</v>
      </c>
      <c r="S49" s="5">
        <v>3.8E-3</v>
      </c>
      <c r="T49" s="5">
        <v>4.2700000000000004E-3</v>
      </c>
      <c r="U49" s="5">
        <v>4.6699999999999997E-3</v>
      </c>
      <c r="V49" s="5">
        <v>5.0699999999999999E-3</v>
      </c>
      <c r="W49" s="5">
        <v>5.5599999999999998E-3</v>
      </c>
      <c r="X49" s="5">
        <v>6.2199999999999998E-3</v>
      </c>
      <c r="Y49" s="5">
        <v>7.0099999999999997E-3</v>
      </c>
      <c r="Z49" s="5">
        <v>7.8799999999999999E-3</v>
      </c>
    </row>
    <row r="50" spans="1:26" x14ac:dyDescent="0.3">
      <c r="A50" s="5">
        <v>43</v>
      </c>
      <c r="B50" s="5">
        <v>2.9E-4</v>
      </c>
      <c r="C50" s="5">
        <v>4.4000000000000002E-4</v>
      </c>
      <c r="D50" s="5">
        <v>5.5999999999999995E-4</v>
      </c>
      <c r="E50" s="5">
        <v>6.8000000000000005E-4</v>
      </c>
      <c r="F50" s="5">
        <v>7.6000000000000004E-4</v>
      </c>
      <c r="G50" s="5">
        <v>8.4000000000000003E-4</v>
      </c>
      <c r="H50" s="5">
        <v>9.6000000000000002E-4</v>
      </c>
      <c r="I50" s="5">
        <v>1.1299999999999999E-3</v>
      </c>
      <c r="J50" s="5">
        <v>1.31E-3</v>
      </c>
      <c r="K50" s="5">
        <v>1.48E-3</v>
      </c>
      <c r="L50" s="5">
        <v>1.65E-3</v>
      </c>
      <c r="M50" s="5">
        <v>1.8699999999999999E-3</v>
      </c>
      <c r="N50" s="5">
        <v>2.15E-3</v>
      </c>
      <c r="O50" s="5">
        <v>2.4299999999999999E-3</v>
      </c>
      <c r="P50" s="5">
        <v>2.7499999999999998E-3</v>
      </c>
      <c r="Q50" s="5">
        <v>3.1800000000000001E-3</v>
      </c>
      <c r="R50" s="5">
        <v>3.7100000000000002E-3</v>
      </c>
      <c r="S50" s="5">
        <v>4.2199999999999998E-3</v>
      </c>
      <c r="T50" s="5">
        <v>4.6699999999999997E-3</v>
      </c>
      <c r="U50" s="5">
        <v>5.0499999999999998E-3</v>
      </c>
      <c r="V50" s="5">
        <v>5.4999999999999997E-3</v>
      </c>
      <c r="W50" s="5">
        <v>6.1199999999999996E-3</v>
      </c>
      <c r="X50" s="5">
        <v>6.8900000000000003E-3</v>
      </c>
      <c r="Y50" s="5">
        <v>7.77E-3</v>
      </c>
      <c r="Z50" s="5">
        <v>8.7200000000000003E-3</v>
      </c>
    </row>
    <row r="51" spans="1:26" x14ac:dyDescent="0.3">
      <c r="A51" s="5">
        <v>44</v>
      </c>
      <c r="B51" s="5">
        <v>3.3E-4</v>
      </c>
      <c r="C51" s="5">
        <v>4.6999999999999999E-4</v>
      </c>
      <c r="D51" s="5">
        <v>5.9999999999999995E-4</v>
      </c>
      <c r="E51" s="5">
        <v>7.3999999999999999E-4</v>
      </c>
      <c r="F51" s="5">
        <v>8.0999999999999996E-4</v>
      </c>
      <c r="G51" s="5">
        <v>8.9999999999999998E-4</v>
      </c>
      <c r="H51" s="5">
        <v>1.0499999999999999E-3</v>
      </c>
      <c r="I51" s="5">
        <v>1.23E-3</v>
      </c>
      <c r="J51" s="5">
        <v>1.41E-3</v>
      </c>
      <c r="K51" s="5">
        <v>1.5900000000000001E-3</v>
      </c>
      <c r="L51" s="5">
        <v>1.8E-3</v>
      </c>
      <c r="M51" s="5">
        <v>2.0600000000000002E-3</v>
      </c>
      <c r="N51" s="5">
        <v>2.3700000000000001E-3</v>
      </c>
      <c r="O51" s="5">
        <v>2.6900000000000001E-3</v>
      </c>
      <c r="P51" s="5">
        <v>3.0599999999999998E-3</v>
      </c>
      <c r="Q51" s="5">
        <v>3.5500000000000002E-3</v>
      </c>
      <c r="R51" s="5">
        <v>4.1200000000000004E-3</v>
      </c>
      <c r="S51" s="5">
        <v>4.64E-3</v>
      </c>
      <c r="T51" s="5">
        <v>5.0499999999999998E-3</v>
      </c>
      <c r="U51" s="5">
        <v>5.4799999999999996E-3</v>
      </c>
      <c r="V51" s="5">
        <v>6.0000000000000001E-3</v>
      </c>
      <c r="W51" s="5">
        <v>6.7799999999999996E-3</v>
      </c>
      <c r="X51" s="5">
        <v>7.6800000000000002E-3</v>
      </c>
      <c r="Y51" s="5">
        <v>8.6499999999999997E-3</v>
      </c>
      <c r="Z51" s="5">
        <v>9.6900000000000007E-3</v>
      </c>
    </row>
    <row r="52" spans="1:26" x14ac:dyDescent="0.3">
      <c r="A52" s="5">
        <v>45</v>
      </c>
      <c r="B52" s="5">
        <v>3.8000000000000002E-4</v>
      </c>
      <c r="C52" s="5">
        <v>5.0000000000000001E-4</v>
      </c>
      <c r="D52" s="5">
        <v>6.4999999999999997E-4</v>
      </c>
      <c r="E52" s="5">
        <v>8.0000000000000004E-4</v>
      </c>
      <c r="F52" s="5">
        <v>8.7000000000000001E-4</v>
      </c>
      <c r="G52" s="5">
        <v>9.8999999999999999E-4</v>
      </c>
      <c r="H52" s="5">
        <v>1.16E-3</v>
      </c>
      <c r="I52" s="5">
        <v>1.3500000000000001E-3</v>
      </c>
      <c r="J52" s="5">
        <v>1.5299999999999999E-3</v>
      </c>
      <c r="K52" s="5">
        <v>1.73E-3</v>
      </c>
      <c r="L52" s="5">
        <v>1.98E-3</v>
      </c>
      <c r="M52" s="5">
        <v>2.2699999999999999E-3</v>
      </c>
      <c r="N52" s="5">
        <v>2.6099999999999999E-3</v>
      </c>
      <c r="O52" s="5">
        <v>2.97E-3</v>
      </c>
      <c r="P52" s="5">
        <v>3.3999999999999998E-3</v>
      </c>
      <c r="Q52" s="5">
        <v>3.9399999999999999E-3</v>
      </c>
      <c r="R52" s="5">
        <v>4.5300000000000002E-3</v>
      </c>
      <c r="S52" s="5">
        <v>5.0299999999999997E-3</v>
      </c>
      <c r="T52" s="5">
        <v>5.4799999999999996E-3</v>
      </c>
      <c r="U52" s="5">
        <v>5.9800000000000001E-3</v>
      </c>
      <c r="V52" s="5">
        <v>6.6100000000000004E-3</v>
      </c>
      <c r="W52" s="5">
        <v>7.5799999999999999E-3</v>
      </c>
      <c r="X52" s="5">
        <v>8.5800000000000008E-3</v>
      </c>
      <c r="Y52" s="5">
        <v>9.6500000000000006E-3</v>
      </c>
      <c r="Z52" s="5">
        <v>1.082E-2</v>
      </c>
    </row>
    <row r="53" spans="1:26" x14ac:dyDescent="0.3">
      <c r="A53" s="5">
        <v>46</v>
      </c>
      <c r="B53" s="5">
        <v>4.2999999999999999E-4</v>
      </c>
      <c r="C53" s="5">
        <v>5.1999999999999995E-4</v>
      </c>
      <c r="D53" s="5">
        <v>7.1000000000000002E-4</v>
      </c>
      <c r="E53" s="5">
        <v>8.5999999999999998E-4</v>
      </c>
      <c r="F53" s="5">
        <v>9.5E-4</v>
      </c>
      <c r="G53" s="5">
        <v>1.1000000000000001E-3</v>
      </c>
      <c r="H53" s="5">
        <v>1.2999999999999999E-3</v>
      </c>
      <c r="I53" s="5">
        <v>1.48E-3</v>
      </c>
      <c r="J53" s="5">
        <v>1.66E-3</v>
      </c>
      <c r="K53" s="5">
        <v>1.89E-3</v>
      </c>
      <c r="L53" s="5">
        <v>2.1900000000000001E-3</v>
      </c>
      <c r="M53" s="5">
        <v>2.5200000000000001E-3</v>
      </c>
      <c r="N53" s="5">
        <v>2.8800000000000002E-3</v>
      </c>
      <c r="O53" s="5">
        <v>3.2599999999999999E-3</v>
      </c>
      <c r="P53" s="5">
        <v>3.7399999999999998E-3</v>
      </c>
      <c r="Q53" s="5">
        <v>4.3299999999999996E-3</v>
      </c>
      <c r="R53" s="5">
        <v>4.9500000000000004E-3</v>
      </c>
      <c r="S53" s="5">
        <v>5.4599999999999996E-3</v>
      </c>
      <c r="T53" s="5">
        <v>5.9500000000000004E-3</v>
      </c>
      <c r="U53" s="5">
        <v>6.5199999999999998E-3</v>
      </c>
      <c r="V53" s="5">
        <v>7.3400000000000002E-3</v>
      </c>
      <c r="W53" s="5">
        <v>8.5000000000000006E-3</v>
      </c>
      <c r="X53" s="5">
        <v>9.5999999999999992E-3</v>
      </c>
      <c r="Y53" s="5">
        <v>1.0789999999999999E-2</v>
      </c>
      <c r="Z53" s="5">
        <v>1.214E-2</v>
      </c>
    </row>
    <row r="54" spans="1:26" x14ac:dyDescent="0.3">
      <c r="A54" s="5">
        <v>47</v>
      </c>
      <c r="B54" s="5">
        <v>4.6999999999999999E-4</v>
      </c>
      <c r="C54" s="5">
        <v>5.5000000000000003E-4</v>
      </c>
      <c r="D54" s="5">
        <v>7.6999999999999996E-4</v>
      </c>
      <c r="E54" s="5">
        <v>9.3999999999999997E-4</v>
      </c>
      <c r="F54" s="5">
        <v>1.0499999999999999E-3</v>
      </c>
      <c r="G54" s="5">
        <v>1.24E-3</v>
      </c>
      <c r="H54" s="5">
        <v>1.4499999999999999E-3</v>
      </c>
      <c r="I54" s="5">
        <v>1.6199999999999999E-3</v>
      </c>
      <c r="J54" s="5">
        <v>1.81E-3</v>
      </c>
      <c r="K54" s="5">
        <v>2.0999999999999999E-3</v>
      </c>
      <c r="L54" s="5">
        <v>2.4399999999999999E-3</v>
      </c>
      <c r="M54" s="5">
        <v>2.7799999999999999E-3</v>
      </c>
      <c r="N54" s="5">
        <v>3.15E-3</v>
      </c>
      <c r="O54" s="5">
        <v>3.5799999999999998E-3</v>
      </c>
      <c r="P54" s="5">
        <v>4.1000000000000003E-3</v>
      </c>
      <c r="Q54" s="5">
        <v>4.7400000000000003E-3</v>
      </c>
      <c r="R54" s="5">
        <v>5.3899999999999998E-3</v>
      </c>
      <c r="S54" s="5">
        <v>5.94E-3</v>
      </c>
      <c r="T54" s="5">
        <v>6.4799999999999996E-3</v>
      </c>
      <c r="U54" s="5">
        <v>7.1799999999999998E-3</v>
      </c>
      <c r="V54" s="5">
        <v>8.2199999999999999E-3</v>
      </c>
      <c r="W54" s="5">
        <v>9.5700000000000004E-3</v>
      </c>
      <c r="X54" s="5">
        <v>1.077E-2</v>
      </c>
      <c r="Y54" s="5">
        <v>1.2120000000000001E-2</v>
      </c>
      <c r="Z54" s="5">
        <v>1.3650000000000001E-2</v>
      </c>
    </row>
    <row r="55" spans="1:26" x14ac:dyDescent="0.3">
      <c r="A55" s="5">
        <v>48</v>
      </c>
      <c r="B55" s="5">
        <v>5.0000000000000001E-4</v>
      </c>
      <c r="C55" s="5">
        <v>5.8E-4</v>
      </c>
      <c r="D55" s="5">
        <v>8.4000000000000003E-4</v>
      </c>
      <c r="E55" s="5">
        <v>1.0200000000000001E-3</v>
      </c>
      <c r="F55" s="5">
        <v>1.1800000000000001E-3</v>
      </c>
      <c r="G55" s="5">
        <v>1.4E-3</v>
      </c>
      <c r="H55" s="5">
        <v>1.6000000000000001E-3</v>
      </c>
      <c r="I55" s="5">
        <v>1.7700000000000001E-3</v>
      </c>
      <c r="J55" s="5">
        <v>2E-3</v>
      </c>
      <c r="K55" s="5">
        <v>2.3500000000000001E-3</v>
      </c>
      <c r="L55" s="5">
        <v>2.7200000000000002E-3</v>
      </c>
      <c r="M55" s="5">
        <v>3.0599999999999998E-3</v>
      </c>
      <c r="N55" s="5">
        <v>3.4399999999999999E-3</v>
      </c>
      <c r="O55" s="5">
        <v>3.8999999999999998E-3</v>
      </c>
      <c r="P55" s="5">
        <v>4.4799999999999996E-3</v>
      </c>
      <c r="Q55" s="5">
        <v>5.1700000000000001E-3</v>
      </c>
      <c r="R55" s="5">
        <v>5.8500000000000002E-3</v>
      </c>
      <c r="S55" s="5">
        <v>6.4400000000000004E-3</v>
      </c>
      <c r="T55" s="5">
        <v>7.0899999999999999E-3</v>
      </c>
      <c r="U55" s="5">
        <v>7.9699999999999997E-3</v>
      </c>
      <c r="V55" s="5">
        <v>9.2300000000000004E-3</v>
      </c>
      <c r="W55" s="5">
        <v>1.074E-2</v>
      </c>
      <c r="X55" s="5">
        <v>1.21E-2</v>
      </c>
      <c r="Y55" s="5">
        <v>1.362E-2</v>
      </c>
      <c r="Z55" s="5">
        <v>1.54E-2</v>
      </c>
    </row>
    <row r="56" spans="1:26" x14ac:dyDescent="0.3">
      <c r="A56" s="5">
        <v>49</v>
      </c>
      <c r="B56" s="5">
        <v>5.1999999999999995E-4</v>
      </c>
      <c r="C56" s="5">
        <v>6.4000000000000005E-4</v>
      </c>
      <c r="D56" s="5">
        <v>9.2000000000000003E-4</v>
      </c>
      <c r="E56" s="5">
        <v>1.1100000000000001E-3</v>
      </c>
      <c r="F56" s="5">
        <v>1.32E-3</v>
      </c>
      <c r="G56" s="5">
        <v>1.56E-3</v>
      </c>
      <c r="H56" s="5">
        <v>1.74E-3</v>
      </c>
      <c r="I56" s="5">
        <v>1.92E-3</v>
      </c>
      <c r="J56" s="5">
        <v>2.2200000000000002E-3</v>
      </c>
      <c r="K56" s="5">
        <v>2.63E-3</v>
      </c>
      <c r="L56" s="5">
        <v>3.0100000000000001E-3</v>
      </c>
      <c r="M56" s="5">
        <v>3.3400000000000001E-3</v>
      </c>
      <c r="N56" s="5">
        <v>3.7299999999999998E-3</v>
      </c>
      <c r="O56" s="5">
        <v>4.2399999999999998E-3</v>
      </c>
      <c r="P56" s="5">
        <v>4.8799999999999998E-3</v>
      </c>
      <c r="Q56" s="5">
        <v>5.6299999999999996E-3</v>
      </c>
      <c r="R56" s="5">
        <v>6.3499999999999997E-3</v>
      </c>
      <c r="S56" s="5">
        <v>7.0000000000000001E-3</v>
      </c>
      <c r="T56" s="5">
        <v>7.79E-3</v>
      </c>
      <c r="U56" s="5">
        <v>8.8699999999999994E-3</v>
      </c>
      <c r="V56" s="5">
        <v>1.0359999999999999E-2</v>
      </c>
      <c r="W56" s="5">
        <v>1.1990000000000001E-2</v>
      </c>
      <c r="X56" s="5">
        <v>1.3559999999999999E-2</v>
      </c>
      <c r="Y56" s="5">
        <v>1.537E-2</v>
      </c>
      <c r="Z56" s="5">
        <v>1.7430000000000001E-2</v>
      </c>
    </row>
    <row r="57" spans="1:26" x14ac:dyDescent="0.3">
      <c r="A57" s="5">
        <v>50</v>
      </c>
      <c r="B57" s="5">
        <v>5.1999999999999995E-4</v>
      </c>
      <c r="C57" s="5">
        <v>7.2000000000000005E-4</v>
      </c>
      <c r="D57" s="5">
        <v>1.01E-3</v>
      </c>
      <c r="E57" s="5">
        <v>1.2199999999999999E-3</v>
      </c>
      <c r="F57" s="5">
        <v>1.48E-3</v>
      </c>
      <c r="G57" s="5">
        <v>1.6999999999999999E-3</v>
      </c>
      <c r="H57" s="5">
        <v>1.8699999999999999E-3</v>
      </c>
      <c r="I57" s="5">
        <v>2.0899999999999998E-3</v>
      </c>
      <c r="J57" s="5">
        <v>2.47E-3</v>
      </c>
      <c r="K57" s="5">
        <v>2.9399999999999999E-3</v>
      </c>
      <c r="L57" s="5">
        <v>3.31E-3</v>
      </c>
      <c r="M57" s="5">
        <v>3.65E-3</v>
      </c>
      <c r="N57" s="5">
        <v>4.0499999999999998E-3</v>
      </c>
      <c r="O57" s="5">
        <v>4.6299999999999996E-3</v>
      </c>
      <c r="P57" s="5">
        <v>5.3400000000000001E-3</v>
      </c>
      <c r="Q57" s="5">
        <v>6.1399999999999996E-3</v>
      </c>
      <c r="R57" s="5">
        <v>6.9100000000000003E-3</v>
      </c>
      <c r="S57" s="5">
        <v>7.6499999999999997E-3</v>
      </c>
      <c r="T57" s="5">
        <v>8.6199999999999992E-3</v>
      </c>
      <c r="U57" s="5">
        <v>9.9100000000000004E-3</v>
      </c>
      <c r="V57" s="5">
        <v>1.1560000000000001E-2</v>
      </c>
      <c r="W57" s="5">
        <v>1.3299999999999999E-2</v>
      </c>
      <c r="X57" s="5">
        <v>1.5140000000000001E-2</v>
      </c>
      <c r="Y57" s="5">
        <v>1.729E-2</v>
      </c>
      <c r="Z57" s="5">
        <v>1.9720000000000001E-2</v>
      </c>
    </row>
    <row r="58" spans="1:26" x14ac:dyDescent="0.3">
      <c r="A58" s="5">
        <v>51</v>
      </c>
      <c r="B58" s="5">
        <v>5.2999999999999998E-4</v>
      </c>
      <c r="C58" s="5">
        <v>8.1999999999999998E-4</v>
      </c>
      <c r="D58" s="5">
        <v>1.1199999999999999E-3</v>
      </c>
      <c r="E58" s="5">
        <v>1.3500000000000001E-3</v>
      </c>
      <c r="F58" s="5">
        <v>1.6299999999999999E-3</v>
      </c>
      <c r="G58" s="5">
        <v>1.82E-3</v>
      </c>
      <c r="H58" s="5">
        <v>1.99E-3</v>
      </c>
      <c r="I58" s="5">
        <v>2.2899999999999999E-3</v>
      </c>
      <c r="J58" s="5">
        <v>2.7599999999999999E-3</v>
      </c>
      <c r="K58" s="5">
        <v>3.2599999999999999E-3</v>
      </c>
      <c r="L58" s="5">
        <v>3.62E-3</v>
      </c>
      <c r="M58" s="5">
        <v>4.0099999999999997E-3</v>
      </c>
      <c r="N58" s="5">
        <v>4.4299999999999999E-3</v>
      </c>
      <c r="O58" s="5">
        <v>5.1000000000000004E-3</v>
      </c>
      <c r="P58" s="5">
        <v>5.8999999999999999E-3</v>
      </c>
      <c r="Q58" s="5">
        <v>6.7499999999999999E-3</v>
      </c>
      <c r="R58" s="5">
        <v>7.5700000000000003E-3</v>
      </c>
      <c r="S58" s="5">
        <v>8.4399999999999996E-3</v>
      </c>
      <c r="T58" s="5">
        <v>9.6100000000000005E-3</v>
      </c>
      <c r="U58" s="5">
        <v>1.111E-2</v>
      </c>
      <c r="V58" s="5">
        <v>1.291E-2</v>
      </c>
      <c r="W58" s="5">
        <v>1.477E-2</v>
      </c>
      <c r="X58" s="5">
        <v>1.686E-2</v>
      </c>
      <c r="Y58" s="5">
        <v>1.9349999999999999E-2</v>
      </c>
      <c r="Z58" s="5">
        <v>2.2179999999999998E-2</v>
      </c>
    </row>
    <row r="59" spans="1:26" x14ac:dyDescent="0.3">
      <c r="A59" s="5">
        <v>52</v>
      </c>
      <c r="B59" s="5">
        <v>5.2999999999999998E-4</v>
      </c>
      <c r="C59" s="5">
        <v>9.3000000000000005E-4</v>
      </c>
      <c r="D59" s="5">
        <v>1.24E-3</v>
      </c>
      <c r="E59" s="5">
        <v>1.5100000000000001E-3</v>
      </c>
      <c r="F59" s="5">
        <v>1.7700000000000001E-3</v>
      </c>
      <c r="G59" s="5">
        <v>1.9400000000000001E-3</v>
      </c>
      <c r="H59" s="5">
        <v>2.15E-3</v>
      </c>
      <c r="I59" s="5">
        <v>2.5200000000000001E-3</v>
      </c>
      <c r="J59" s="5">
        <v>3.0699999999999998E-3</v>
      </c>
      <c r="K59" s="5">
        <v>3.5999999999999999E-3</v>
      </c>
      <c r="L59" s="5">
        <v>3.9699999999999996E-3</v>
      </c>
      <c r="M59" s="5">
        <v>4.3899999999999998E-3</v>
      </c>
      <c r="N59" s="5">
        <v>4.8999999999999998E-3</v>
      </c>
      <c r="O59" s="5">
        <v>5.7000000000000002E-3</v>
      </c>
      <c r="P59" s="5">
        <v>6.5799999999999999E-3</v>
      </c>
      <c r="Q59" s="5">
        <v>7.4999999999999997E-3</v>
      </c>
      <c r="R59" s="5">
        <v>8.3999999999999995E-3</v>
      </c>
      <c r="S59" s="5">
        <v>9.4999999999999998E-3</v>
      </c>
      <c r="T59" s="5">
        <v>1.0800000000000001E-2</v>
      </c>
      <c r="U59" s="5">
        <v>1.2489999999999999E-2</v>
      </c>
      <c r="V59" s="5">
        <v>1.4449999999999999E-2</v>
      </c>
      <c r="W59" s="5">
        <v>1.6500000000000001E-2</v>
      </c>
      <c r="X59" s="5">
        <v>1.8849999999999999E-2</v>
      </c>
      <c r="Y59" s="5">
        <v>2.1680000000000001E-2</v>
      </c>
      <c r="Z59" s="5">
        <v>2.4889999999999999E-2</v>
      </c>
    </row>
    <row r="60" spans="1:26" x14ac:dyDescent="0.3">
      <c r="A60" s="5">
        <v>53</v>
      </c>
      <c r="B60" s="5">
        <v>5.4000000000000001E-4</v>
      </c>
      <c r="C60" s="5">
        <v>1.0399999999999999E-3</v>
      </c>
      <c r="D60" s="5">
        <v>1.3799999999999999E-3</v>
      </c>
      <c r="E60" s="5">
        <v>1.7099999999999999E-3</v>
      </c>
      <c r="F60" s="5">
        <v>1.92E-3</v>
      </c>
      <c r="G60" s="5">
        <v>2.0899999999999998E-3</v>
      </c>
      <c r="H60" s="5">
        <v>2.3500000000000001E-3</v>
      </c>
      <c r="I60" s="5">
        <v>2.8E-3</v>
      </c>
      <c r="J60" s="5">
        <v>3.4199999999999999E-3</v>
      </c>
      <c r="K60" s="5">
        <v>3.9500000000000004E-3</v>
      </c>
      <c r="L60" s="5">
        <v>4.3600000000000002E-3</v>
      </c>
      <c r="M60" s="5">
        <v>4.8300000000000001E-3</v>
      </c>
      <c r="N60" s="5">
        <v>5.5199999999999997E-3</v>
      </c>
      <c r="O60" s="5">
        <v>6.45E-3</v>
      </c>
      <c r="P60" s="5">
        <v>7.4200000000000004E-3</v>
      </c>
      <c r="Q60" s="5">
        <v>8.3899999999999999E-3</v>
      </c>
      <c r="R60" s="5">
        <v>9.4699999999999993E-3</v>
      </c>
      <c r="S60" s="5">
        <v>1.074E-2</v>
      </c>
      <c r="T60" s="5">
        <v>1.2239999999999999E-2</v>
      </c>
      <c r="U60" s="5">
        <v>1.41E-2</v>
      </c>
      <c r="V60" s="5">
        <v>1.6199999999999999E-2</v>
      </c>
      <c r="W60" s="5">
        <v>1.8630000000000001E-2</v>
      </c>
      <c r="X60" s="5">
        <v>2.1399999999999999E-2</v>
      </c>
      <c r="Y60" s="5">
        <v>2.4580000000000001E-2</v>
      </c>
      <c r="Z60" s="5">
        <v>2.8039999999999999E-2</v>
      </c>
    </row>
    <row r="61" spans="1:26" x14ac:dyDescent="0.3">
      <c r="A61" s="5">
        <v>54</v>
      </c>
      <c r="B61" s="5">
        <v>5.4000000000000001E-4</v>
      </c>
      <c r="C61" s="5">
        <v>1.1299999999999999E-3</v>
      </c>
      <c r="D61" s="5">
        <v>1.5399999999999999E-3</v>
      </c>
      <c r="E61" s="5">
        <v>1.8799999999999999E-3</v>
      </c>
      <c r="F61" s="5">
        <v>2.0600000000000002E-3</v>
      </c>
      <c r="G61" s="5">
        <v>2.2399999999999998E-3</v>
      </c>
      <c r="H61" s="5">
        <v>2.5799999999999998E-3</v>
      </c>
      <c r="I61" s="5">
        <v>3.15E-3</v>
      </c>
      <c r="J61" s="5">
        <v>3.8E-3</v>
      </c>
      <c r="K61" s="5">
        <v>4.3400000000000001E-3</v>
      </c>
      <c r="L61" s="5">
        <v>4.7999999999999996E-3</v>
      </c>
      <c r="M61" s="5">
        <v>5.4099999999999999E-3</v>
      </c>
      <c r="N61" s="5">
        <v>6.3200000000000001E-3</v>
      </c>
      <c r="O61" s="5">
        <v>7.3699999999999998E-3</v>
      </c>
      <c r="P61" s="5">
        <v>8.3800000000000003E-3</v>
      </c>
      <c r="Q61" s="5">
        <v>9.4500000000000001E-3</v>
      </c>
      <c r="R61" s="5">
        <v>1.068E-2</v>
      </c>
      <c r="S61" s="5">
        <v>1.2120000000000001E-2</v>
      </c>
      <c r="T61" s="5">
        <v>1.3939999999999999E-2</v>
      </c>
      <c r="U61" s="5">
        <v>1.602E-2</v>
      </c>
      <c r="V61" s="5">
        <v>1.8339999999999999E-2</v>
      </c>
      <c r="W61" s="5">
        <v>2.1219999999999999E-2</v>
      </c>
      <c r="X61" s="5">
        <v>2.4420000000000001E-2</v>
      </c>
      <c r="Y61" s="5">
        <v>2.7959999999999999E-2</v>
      </c>
      <c r="Z61" s="5">
        <v>3.1809999999999998E-2</v>
      </c>
    </row>
    <row r="62" spans="1:26" x14ac:dyDescent="0.3">
      <c r="A62" s="5">
        <v>55</v>
      </c>
      <c r="B62" s="5">
        <v>5.9000000000000003E-4</v>
      </c>
      <c r="C62" s="5">
        <v>1.1900000000000001E-3</v>
      </c>
      <c r="D62" s="5">
        <v>1.7099999999999999E-3</v>
      </c>
      <c r="E62" s="5">
        <v>2.0300000000000001E-3</v>
      </c>
      <c r="F62" s="5">
        <v>2.2100000000000002E-3</v>
      </c>
      <c r="G62" s="5">
        <v>2.4399999999999999E-3</v>
      </c>
      <c r="H62" s="5">
        <v>2.8800000000000002E-3</v>
      </c>
      <c r="I62" s="5">
        <v>3.5599999999999998E-3</v>
      </c>
      <c r="J62" s="5">
        <v>4.2199999999999998E-3</v>
      </c>
      <c r="K62" s="5">
        <v>4.79E-3</v>
      </c>
      <c r="L62" s="5">
        <v>5.3699999999999998E-3</v>
      </c>
      <c r="M62" s="5">
        <v>6.1799999999999997E-3</v>
      </c>
      <c r="N62" s="5">
        <v>7.2500000000000004E-3</v>
      </c>
      <c r="O62" s="5">
        <v>8.3599999999999994E-3</v>
      </c>
      <c r="P62" s="5">
        <v>9.4299999999999991E-3</v>
      </c>
      <c r="Q62" s="5">
        <v>1.064E-2</v>
      </c>
      <c r="R62" s="5">
        <v>1.205E-2</v>
      </c>
      <c r="S62" s="5">
        <v>1.379E-2</v>
      </c>
      <c r="T62" s="5">
        <v>1.5910000000000001E-2</v>
      </c>
      <c r="U62" s="5">
        <v>1.8270000000000002E-2</v>
      </c>
      <c r="V62" s="5">
        <v>2.0959999999999999E-2</v>
      </c>
      <c r="W62" s="5">
        <v>2.4219999999999998E-2</v>
      </c>
      <c r="X62" s="5">
        <v>2.7810000000000001E-2</v>
      </c>
      <c r="Y62" s="5">
        <v>3.177E-2</v>
      </c>
      <c r="Z62" s="5">
        <v>3.6040000000000003E-2</v>
      </c>
    </row>
    <row r="63" spans="1:26" x14ac:dyDescent="0.3">
      <c r="A63" s="5">
        <v>56</v>
      </c>
      <c r="B63" s="5">
        <v>6.9999999999999999E-4</v>
      </c>
      <c r="C63" s="5">
        <v>1.24E-3</v>
      </c>
      <c r="D63" s="5">
        <v>1.8799999999999999E-3</v>
      </c>
      <c r="E63" s="5">
        <v>2.1900000000000001E-3</v>
      </c>
      <c r="F63" s="5">
        <v>2.3999999999999998E-3</v>
      </c>
      <c r="G63" s="5">
        <v>2.7000000000000001E-3</v>
      </c>
      <c r="H63" s="5">
        <v>3.2799999999999999E-3</v>
      </c>
      <c r="I63" s="5">
        <v>4.0099999999999997E-3</v>
      </c>
      <c r="J63" s="5">
        <v>4.6699999999999997E-3</v>
      </c>
      <c r="K63" s="5">
        <v>5.3099999999999996E-3</v>
      </c>
      <c r="L63" s="5">
        <v>6.0600000000000003E-3</v>
      </c>
      <c r="M63" s="5">
        <v>7.0899999999999999E-3</v>
      </c>
      <c r="N63" s="5">
        <v>8.2900000000000005E-3</v>
      </c>
      <c r="O63" s="5">
        <v>9.41E-3</v>
      </c>
      <c r="P63" s="5">
        <v>1.057E-2</v>
      </c>
      <c r="Q63" s="5">
        <v>1.1979999999999999E-2</v>
      </c>
      <c r="R63" s="5">
        <v>1.37E-2</v>
      </c>
      <c r="S63" s="5">
        <v>1.5740000000000001E-2</v>
      </c>
      <c r="T63" s="5">
        <v>1.814E-2</v>
      </c>
      <c r="U63" s="5">
        <v>2.0809999999999999E-2</v>
      </c>
      <c r="V63" s="5">
        <v>2.3879999999999998E-2</v>
      </c>
      <c r="W63" s="5">
        <v>2.75E-2</v>
      </c>
      <c r="X63" s="5">
        <v>3.168E-2</v>
      </c>
      <c r="Y63" s="5">
        <v>3.6040000000000003E-2</v>
      </c>
      <c r="Z63" s="5">
        <v>4.0759999999999998E-2</v>
      </c>
    </row>
    <row r="64" spans="1:26" x14ac:dyDescent="0.3">
      <c r="A64" s="5">
        <v>57</v>
      </c>
      <c r="B64" s="5">
        <v>8.4999999999999995E-4</v>
      </c>
      <c r="C64" s="5">
        <v>1.2800000000000001E-3</v>
      </c>
      <c r="D64" s="5">
        <v>2.0400000000000001E-3</v>
      </c>
      <c r="E64" s="5">
        <v>2.3700000000000001E-3</v>
      </c>
      <c r="F64" s="5">
        <v>2.64E-3</v>
      </c>
      <c r="G64" s="5">
        <v>3.0300000000000001E-3</v>
      </c>
      <c r="H64" s="5">
        <v>3.7499999999999999E-3</v>
      </c>
      <c r="I64" s="5">
        <v>4.4999999999999997E-3</v>
      </c>
      <c r="J64" s="5">
        <v>5.1700000000000001E-3</v>
      </c>
      <c r="K64" s="5">
        <v>5.9199999999999999E-3</v>
      </c>
      <c r="L64" s="5">
        <v>6.8700000000000002E-3</v>
      </c>
      <c r="M64" s="5">
        <v>8.09E-3</v>
      </c>
      <c r="N64" s="5">
        <v>9.3699999999999999E-3</v>
      </c>
      <c r="O64" s="5">
        <v>1.055E-2</v>
      </c>
      <c r="P64" s="5">
        <v>1.187E-2</v>
      </c>
      <c r="Q64" s="5">
        <v>1.353E-2</v>
      </c>
      <c r="R64" s="5">
        <v>1.5610000000000001E-2</v>
      </c>
      <c r="S64" s="5">
        <v>1.797E-2</v>
      </c>
      <c r="T64" s="5">
        <v>2.0660000000000001E-2</v>
      </c>
      <c r="U64" s="5">
        <v>2.368E-2</v>
      </c>
      <c r="V64" s="5">
        <v>2.724E-2</v>
      </c>
      <c r="W64" s="5">
        <v>3.1370000000000002E-2</v>
      </c>
      <c r="X64" s="5">
        <v>3.5970000000000002E-2</v>
      </c>
      <c r="Y64" s="5">
        <v>4.0759999999999998E-2</v>
      </c>
      <c r="Z64" s="5">
        <v>4.6149999999999997E-2</v>
      </c>
    </row>
    <row r="65" spans="1:26" x14ac:dyDescent="0.3">
      <c r="A65" s="5">
        <v>58</v>
      </c>
      <c r="B65" s="5">
        <v>1.0499999999999999E-3</v>
      </c>
      <c r="C65" s="5">
        <v>1.3500000000000001E-3</v>
      </c>
      <c r="D65" s="5">
        <v>2.1700000000000001E-3</v>
      </c>
      <c r="E65" s="5">
        <v>2.5699999999999998E-3</v>
      </c>
      <c r="F65" s="5">
        <v>2.8700000000000002E-3</v>
      </c>
      <c r="G65" s="5">
        <v>3.4399999999999999E-3</v>
      </c>
      <c r="H65" s="5">
        <v>4.2500000000000003E-3</v>
      </c>
      <c r="I65" s="5">
        <v>5.0000000000000001E-3</v>
      </c>
      <c r="J65" s="5">
        <v>5.7099999999999998E-3</v>
      </c>
      <c r="K65" s="5">
        <v>6.6299999999999996E-3</v>
      </c>
      <c r="L65" s="5">
        <v>7.7799999999999996E-3</v>
      </c>
      <c r="M65" s="5">
        <v>9.1299999999999992E-3</v>
      </c>
      <c r="N65" s="5">
        <v>1.0500000000000001E-2</v>
      </c>
      <c r="O65" s="5">
        <v>1.1860000000000001E-2</v>
      </c>
      <c r="P65" s="5">
        <v>1.338E-2</v>
      </c>
      <c r="Q65" s="5">
        <v>1.533E-2</v>
      </c>
      <c r="R65" s="5">
        <v>1.7809999999999999E-2</v>
      </c>
      <c r="S65" s="5">
        <v>2.0500000000000001E-2</v>
      </c>
      <c r="T65" s="5">
        <v>2.3470000000000001E-2</v>
      </c>
      <c r="U65" s="5">
        <v>2.682E-2</v>
      </c>
      <c r="V65" s="5">
        <v>3.0960000000000001E-2</v>
      </c>
      <c r="W65" s="5">
        <v>3.5720000000000002E-2</v>
      </c>
      <c r="X65" s="5">
        <v>4.0759999999999998E-2</v>
      </c>
      <c r="Y65" s="5">
        <v>4.6149999999999997E-2</v>
      </c>
      <c r="Z65" s="5">
        <v>5.2269999999999997E-2</v>
      </c>
    </row>
    <row r="66" spans="1:26" x14ac:dyDescent="0.3">
      <c r="A66" s="5">
        <v>59</v>
      </c>
      <c r="B66" s="5">
        <v>1.2600000000000001E-3</v>
      </c>
      <c r="C66" s="5">
        <v>1.4599999999999999E-3</v>
      </c>
      <c r="D66" s="5">
        <v>2.2699999999999999E-3</v>
      </c>
      <c r="E66" s="5">
        <v>2.7200000000000002E-3</v>
      </c>
      <c r="F66" s="5">
        <v>3.13E-3</v>
      </c>
      <c r="G66" s="5">
        <v>3.8999999999999998E-3</v>
      </c>
      <c r="H66" s="5">
        <v>4.7400000000000003E-3</v>
      </c>
      <c r="I66" s="5">
        <v>5.4900000000000001E-3</v>
      </c>
      <c r="J66" s="5">
        <v>6.3099999999999996E-3</v>
      </c>
      <c r="K66" s="5">
        <v>7.4200000000000004E-3</v>
      </c>
      <c r="L66" s="5">
        <v>8.7799999999999996E-3</v>
      </c>
      <c r="M66" s="5">
        <v>1.025E-2</v>
      </c>
      <c r="N66" s="5">
        <v>1.174E-2</v>
      </c>
      <c r="O66" s="5">
        <v>1.3259999999999999E-2</v>
      </c>
      <c r="P66" s="5">
        <v>1.502E-2</v>
      </c>
      <c r="Q66" s="5">
        <v>1.736E-2</v>
      </c>
      <c r="R66" s="5">
        <v>2.0250000000000001E-2</v>
      </c>
      <c r="S66" s="5">
        <v>2.3310000000000001E-2</v>
      </c>
      <c r="T66" s="5">
        <v>2.665E-2</v>
      </c>
      <c r="U66" s="5">
        <v>3.056E-2</v>
      </c>
      <c r="V66" s="5">
        <v>3.526E-2</v>
      </c>
      <c r="W66" s="5">
        <v>4.0570000000000002E-2</v>
      </c>
      <c r="X66" s="5">
        <v>4.6149999999999997E-2</v>
      </c>
      <c r="Y66" s="5">
        <v>5.2269999999999997E-2</v>
      </c>
      <c r="Z66" s="5">
        <v>5.9310000000000002E-2</v>
      </c>
    </row>
    <row r="67" spans="1:26" x14ac:dyDescent="0.3">
      <c r="A67" s="5">
        <v>60</v>
      </c>
      <c r="B67" s="5">
        <v>1.4400000000000001E-3</v>
      </c>
      <c r="C67" s="5">
        <v>1.6199999999999999E-3</v>
      </c>
      <c r="D67" s="5">
        <v>2.3800000000000002E-3</v>
      </c>
      <c r="E67" s="5">
        <v>2.82E-3</v>
      </c>
      <c r="F67" s="5">
        <v>3.4499999999999999E-3</v>
      </c>
      <c r="G67" s="5">
        <v>4.3499999999999997E-3</v>
      </c>
      <c r="H67" s="5">
        <v>5.1999999999999998E-3</v>
      </c>
      <c r="I67" s="5">
        <v>5.9899999999999997E-3</v>
      </c>
      <c r="J67" s="5">
        <v>6.96E-3</v>
      </c>
      <c r="K67" s="5">
        <v>8.2799999999999992E-3</v>
      </c>
      <c r="L67" s="5">
        <v>9.8200000000000006E-3</v>
      </c>
      <c r="M67" s="5">
        <v>1.141E-2</v>
      </c>
      <c r="N67" s="5">
        <v>1.2999999999999999E-2</v>
      </c>
      <c r="O67" s="5">
        <v>1.47E-2</v>
      </c>
      <c r="P67" s="5">
        <v>1.6830000000000001E-2</v>
      </c>
      <c r="Q67" s="5">
        <v>1.9619999999999999E-2</v>
      </c>
      <c r="R67" s="5">
        <v>2.2939999999999999E-2</v>
      </c>
      <c r="S67" s="5">
        <v>2.6419999999999999E-2</v>
      </c>
      <c r="T67" s="5">
        <v>3.0300000000000001E-2</v>
      </c>
      <c r="U67" s="5">
        <v>3.4869999999999998E-2</v>
      </c>
      <c r="V67" s="5">
        <v>4.0239999999999998E-2</v>
      </c>
      <c r="W67" s="5">
        <v>4.6149999999999997E-2</v>
      </c>
      <c r="X67" s="5">
        <v>5.2269999999999997E-2</v>
      </c>
      <c r="Y67" s="5">
        <v>5.9310000000000002E-2</v>
      </c>
      <c r="Z67" s="5">
        <v>6.7479999999999998E-2</v>
      </c>
    </row>
    <row r="68" spans="1:26" x14ac:dyDescent="0.3">
      <c r="A68" s="5">
        <v>61</v>
      </c>
      <c r="B68" s="5">
        <v>1.56E-3</v>
      </c>
      <c r="C68" s="5">
        <v>1.8400000000000001E-3</v>
      </c>
      <c r="D68" s="5">
        <v>2.5000000000000001E-3</v>
      </c>
      <c r="E68" s="5">
        <v>2.98E-3</v>
      </c>
      <c r="F68" s="5">
        <v>3.82E-3</v>
      </c>
      <c r="G68" s="5">
        <v>4.79E-3</v>
      </c>
      <c r="H68" s="5">
        <v>5.64E-3</v>
      </c>
      <c r="I68" s="5">
        <v>6.5199999999999998E-3</v>
      </c>
      <c r="J68" s="5">
        <v>7.6800000000000002E-3</v>
      </c>
      <c r="K68" s="5">
        <v>9.1900000000000003E-3</v>
      </c>
      <c r="L68" s="5">
        <v>1.0840000000000001E-2</v>
      </c>
      <c r="M68" s="5">
        <v>1.252E-2</v>
      </c>
      <c r="N68" s="5">
        <v>1.4250000000000001E-2</v>
      </c>
      <c r="O68" s="5">
        <v>1.626E-2</v>
      </c>
      <c r="P68" s="5">
        <v>1.8849999999999999E-2</v>
      </c>
      <c r="Q68" s="5">
        <v>2.2110000000000001E-2</v>
      </c>
      <c r="R68" s="5">
        <v>2.588E-2</v>
      </c>
      <c r="S68" s="5">
        <v>2.9899999999999999E-2</v>
      </c>
      <c r="T68" s="5">
        <v>3.4520000000000002E-2</v>
      </c>
      <c r="U68" s="5">
        <v>3.9809999999999998E-2</v>
      </c>
      <c r="V68" s="5">
        <v>4.5870000000000001E-2</v>
      </c>
      <c r="W68" s="5">
        <v>5.2269999999999997E-2</v>
      </c>
      <c r="X68" s="5">
        <v>5.9310000000000002E-2</v>
      </c>
      <c r="Y68" s="5">
        <v>6.7479999999999998E-2</v>
      </c>
      <c r="Z68" s="5">
        <v>7.6960000000000001E-2</v>
      </c>
    </row>
    <row r="69" spans="1:26" x14ac:dyDescent="0.3">
      <c r="A69" s="5">
        <v>62</v>
      </c>
      <c r="B69" s="5">
        <v>1.6299999999999999E-3</v>
      </c>
      <c r="C69" s="5">
        <v>2.1199999999999999E-3</v>
      </c>
      <c r="D69" s="5">
        <v>2.6800000000000001E-3</v>
      </c>
      <c r="E69" s="5">
        <v>3.2399999999999998E-3</v>
      </c>
      <c r="F69" s="5">
        <v>4.2399999999999998E-3</v>
      </c>
      <c r="G69" s="5">
        <v>5.2199999999999998E-3</v>
      </c>
      <c r="H69" s="5">
        <v>6.0899999999999999E-3</v>
      </c>
      <c r="I69" s="5">
        <v>7.1000000000000004E-3</v>
      </c>
      <c r="J69" s="5">
        <v>8.4600000000000005E-3</v>
      </c>
      <c r="K69" s="5">
        <v>1.014E-2</v>
      </c>
      <c r="L69" s="5">
        <v>1.189E-2</v>
      </c>
      <c r="M69" s="5">
        <v>1.3679999999999999E-2</v>
      </c>
      <c r="N69" s="5">
        <v>1.562E-2</v>
      </c>
      <c r="O69" s="5">
        <v>1.8030000000000001E-2</v>
      </c>
      <c r="P69" s="5">
        <v>2.1100000000000001E-2</v>
      </c>
      <c r="Q69" s="5">
        <v>2.4840000000000001E-2</v>
      </c>
      <c r="R69" s="5">
        <v>2.911E-2</v>
      </c>
      <c r="S69" s="5">
        <v>3.3739999999999999E-2</v>
      </c>
      <c r="T69" s="5">
        <v>3.9190000000000003E-2</v>
      </c>
      <c r="U69" s="5">
        <v>4.5280000000000001E-2</v>
      </c>
      <c r="V69" s="5">
        <v>5.2269999999999997E-2</v>
      </c>
      <c r="W69" s="5">
        <v>5.9310000000000002E-2</v>
      </c>
      <c r="X69" s="5">
        <v>6.7479999999999998E-2</v>
      </c>
      <c r="Y69" s="5">
        <v>7.6960000000000001E-2</v>
      </c>
      <c r="Z69" s="5">
        <v>8.7870000000000004E-2</v>
      </c>
    </row>
    <row r="70" spans="1:26" x14ac:dyDescent="0.3">
      <c r="A70" s="5">
        <v>63</v>
      </c>
      <c r="B70" s="5">
        <v>1.6900000000000001E-3</v>
      </c>
      <c r="C70" s="5">
        <v>2.4099999999999998E-3</v>
      </c>
      <c r="D70" s="5">
        <v>2.9499999999999999E-3</v>
      </c>
      <c r="E70" s="5">
        <v>3.62E-3</v>
      </c>
      <c r="F70" s="5">
        <v>4.7200000000000002E-3</v>
      </c>
      <c r="G70" s="5">
        <v>5.6699999999999997E-3</v>
      </c>
      <c r="H70" s="5">
        <v>6.6E-3</v>
      </c>
      <c r="I70" s="5">
        <v>7.77E-3</v>
      </c>
      <c r="J70" s="5">
        <v>9.3299999999999998E-3</v>
      </c>
      <c r="K70" s="5">
        <v>1.1169999999999999E-2</v>
      </c>
      <c r="L70" s="5">
        <v>1.2999999999999999E-2</v>
      </c>
      <c r="M70" s="5">
        <v>1.49E-2</v>
      </c>
      <c r="N70" s="5">
        <v>1.7149999999999999E-2</v>
      </c>
      <c r="O70" s="5">
        <v>1.9980000000000001E-2</v>
      </c>
      <c r="P70" s="5">
        <v>2.3519999999999999E-2</v>
      </c>
      <c r="Q70" s="5">
        <v>2.7830000000000001E-2</v>
      </c>
      <c r="R70" s="5">
        <v>3.2829999999999998E-2</v>
      </c>
      <c r="S70" s="5">
        <v>3.8390000000000001E-2</v>
      </c>
      <c r="T70" s="5">
        <v>4.471E-2</v>
      </c>
      <c r="U70" s="5">
        <v>5.1749999999999997E-2</v>
      </c>
      <c r="V70" s="5">
        <v>5.9310000000000002E-2</v>
      </c>
      <c r="W70" s="5">
        <v>6.7479999999999998E-2</v>
      </c>
      <c r="X70" s="5">
        <v>7.6960000000000001E-2</v>
      </c>
      <c r="Y70" s="5">
        <v>8.7870000000000004E-2</v>
      </c>
      <c r="Z70" s="5">
        <v>0.10029</v>
      </c>
    </row>
    <row r="71" spans="1:26" x14ac:dyDescent="0.3">
      <c r="A71" s="5">
        <v>64</v>
      </c>
      <c r="B71" s="5">
        <v>1.7600000000000001E-3</v>
      </c>
      <c r="C71" s="5">
        <v>2.7200000000000002E-3</v>
      </c>
      <c r="D71" s="5">
        <v>3.29E-3</v>
      </c>
      <c r="E71" s="5">
        <v>4.0899999999999999E-3</v>
      </c>
      <c r="F71" s="5">
        <v>5.2599999999999999E-3</v>
      </c>
      <c r="G71" s="5">
        <v>6.1799999999999997E-3</v>
      </c>
      <c r="H71" s="5">
        <v>7.1900000000000002E-3</v>
      </c>
      <c r="I71" s="5">
        <v>8.5500000000000003E-3</v>
      </c>
      <c r="J71" s="5">
        <v>1.031E-2</v>
      </c>
      <c r="K71" s="5">
        <v>1.231E-2</v>
      </c>
      <c r="L71" s="5">
        <v>1.4239999999999999E-2</v>
      </c>
      <c r="M71" s="5">
        <v>1.6289999999999999E-2</v>
      </c>
      <c r="N71" s="5">
        <v>1.8880000000000001E-2</v>
      </c>
      <c r="O71" s="5">
        <v>2.214E-2</v>
      </c>
      <c r="P71" s="5">
        <v>2.613E-2</v>
      </c>
      <c r="Q71" s="5">
        <v>3.1119999999999998E-2</v>
      </c>
      <c r="R71" s="5">
        <v>3.7060000000000003E-2</v>
      </c>
      <c r="S71" s="5">
        <v>4.3659999999999997E-2</v>
      </c>
      <c r="T71" s="5">
        <v>5.1180000000000003E-2</v>
      </c>
      <c r="U71" s="5">
        <v>5.9310000000000002E-2</v>
      </c>
      <c r="V71" s="5">
        <v>6.7479999999999998E-2</v>
      </c>
      <c r="W71" s="5">
        <v>7.6960000000000001E-2</v>
      </c>
      <c r="X71" s="5">
        <v>8.7870000000000004E-2</v>
      </c>
      <c r="Y71" s="5">
        <v>0.10029</v>
      </c>
      <c r="Z71" s="5">
        <v>0.11402</v>
      </c>
    </row>
    <row r="72" spans="1:26" x14ac:dyDescent="0.3">
      <c r="A72" s="5">
        <v>65</v>
      </c>
      <c r="B72" s="5">
        <v>1.83E-3</v>
      </c>
      <c r="C72" s="5">
        <v>3.0500000000000002E-3</v>
      </c>
      <c r="D72" s="5">
        <v>3.7200000000000002E-3</v>
      </c>
      <c r="E72" s="5">
        <v>4.62E-3</v>
      </c>
      <c r="F72" s="5">
        <v>5.8900000000000003E-3</v>
      </c>
      <c r="G72" s="5">
        <v>6.7799999999999996E-3</v>
      </c>
      <c r="H72" s="5">
        <v>7.9100000000000004E-3</v>
      </c>
      <c r="I72" s="5">
        <v>9.4599999999999997E-3</v>
      </c>
      <c r="J72" s="5">
        <v>1.1429999999999999E-2</v>
      </c>
      <c r="K72" s="5">
        <v>1.3650000000000001E-2</v>
      </c>
      <c r="L72" s="5">
        <v>1.5730000000000001E-2</v>
      </c>
      <c r="M72" s="5">
        <v>1.7989999999999999E-2</v>
      </c>
      <c r="N72" s="5">
        <v>2.0969999999999999E-2</v>
      </c>
      <c r="O72" s="5">
        <v>2.4660000000000001E-2</v>
      </c>
      <c r="P72" s="5">
        <v>2.912E-2</v>
      </c>
      <c r="Q72" s="5">
        <v>3.5099999999999999E-2</v>
      </c>
      <c r="R72" s="5">
        <v>4.2410000000000003E-2</v>
      </c>
      <c r="S72" s="5">
        <v>5.0139999999999997E-2</v>
      </c>
      <c r="T72" s="5">
        <v>5.8749999999999997E-2</v>
      </c>
      <c r="U72" s="5">
        <v>6.7479999999999998E-2</v>
      </c>
      <c r="V72" s="5">
        <v>7.6960000000000001E-2</v>
      </c>
      <c r="W72" s="5">
        <v>8.7870000000000004E-2</v>
      </c>
      <c r="X72" s="5">
        <v>0.10029</v>
      </c>
      <c r="Y72" s="5">
        <v>0.11402</v>
      </c>
      <c r="Z72" s="5">
        <v>0.12876000000000001</v>
      </c>
    </row>
    <row r="73" spans="1:26" x14ac:dyDescent="0.3">
      <c r="A73" s="5">
        <v>66</v>
      </c>
      <c r="B73" s="5">
        <v>1.9300000000000001E-3</v>
      </c>
      <c r="C73" s="5">
        <v>3.3500000000000001E-3</v>
      </c>
      <c r="D73" s="5">
        <v>4.1900000000000001E-3</v>
      </c>
      <c r="E73" s="5">
        <v>5.2199999999999998E-3</v>
      </c>
      <c r="F73" s="5">
        <v>6.6E-3</v>
      </c>
      <c r="G73" s="5">
        <v>7.4999999999999997E-3</v>
      </c>
      <c r="H73" s="5">
        <v>8.77E-3</v>
      </c>
      <c r="I73" s="5">
        <v>1.052E-2</v>
      </c>
      <c r="J73" s="5">
        <v>1.274E-2</v>
      </c>
      <c r="K73" s="5">
        <v>1.5259999999999999E-2</v>
      </c>
      <c r="L73" s="5">
        <v>1.763E-2</v>
      </c>
      <c r="M73" s="5">
        <v>2.0199999999999999E-2</v>
      </c>
      <c r="N73" s="5">
        <v>2.3609999999999999E-2</v>
      </c>
      <c r="O73" s="5">
        <v>2.7789999999999999E-2</v>
      </c>
      <c r="P73" s="5">
        <v>3.2759999999999997E-2</v>
      </c>
      <c r="Q73" s="5">
        <v>3.9789999999999999E-2</v>
      </c>
      <c r="R73" s="5">
        <v>4.8730000000000002E-2</v>
      </c>
      <c r="S73" s="5">
        <v>5.7779999999999998E-2</v>
      </c>
      <c r="T73" s="5">
        <v>6.7479999999999998E-2</v>
      </c>
      <c r="U73" s="5">
        <v>7.6960000000000001E-2</v>
      </c>
      <c r="V73" s="5">
        <v>8.7870000000000004E-2</v>
      </c>
      <c r="W73" s="5">
        <v>0.10029</v>
      </c>
      <c r="X73" s="5">
        <v>0.11402</v>
      </c>
      <c r="Y73" s="5">
        <v>0.12876000000000001</v>
      </c>
      <c r="Z73" s="5">
        <v>0.14416999999999999</v>
      </c>
    </row>
    <row r="74" spans="1:26" x14ac:dyDescent="0.3">
      <c r="A74" s="5">
        <v>67</v>
      </c>
      <c r="B74" s="5">
        <v>2.0600000000000002E-3</v>
      </c>
      <c r="C74" s="5">
        <v>3.63E-3</v>
      </c>
      <c r="D74" s="5">
        <v>4.7099999999999998E-3</v>
      </c>
      <c r="E74" s="5">
        <v>5.8999999999999999E-3</v>
      </c>
      <c r="F74" s="5">
        <v>7.3000000000000001E-3</v>
      </c>
      <c r="G74" s="5">
        <v>8.3499999999999998E-3</v>
      </c>
      <c r="H74" s="5">
        <v>9.7699999999999992E-3</v>
      </c>
      <c r="I74" s="5">
        <v>1.175E-2</v>
      </c>
      <c r="J74" s="5">
        <v>1.43E-2</v>
      </c>
      <c r="K74" s="5">
        <v>1.7239999999999998E-2</v>
      </c>
      <c r="L74" s="5">
        <v>2.0039999999999999E-2</v>
      </c>
      <c r="M74" s="5">
        <v>2.3210000000000001E-2</v>
      </c>
      <c r="N74" s="5">
        <v>2.6960000000000001E-2</v>
      </c>
      <c r="O74" s="5">
        <v>3.1690000000000003E-2</v>
      </c>
      <c r="P74" s="5">
        <v>3.7240000000000002E-2</v>
      </c>
      <c r="Q74" s="5">
        <v>4.5319999999999999E-2</v>
      </c>
      <c r="R74" s="5">
        <v>5.5690000000000003E-2</v>
      </c>
      <c r="S74" s="5">
        <v>6.5939999999999999E-2</v>
      </c>
      <c r="T74" s="5">
        <v>7.6960000000000001E-2</v>
      </c>
      <c r="U74" s="5">
        <v>8.7870000000000004E-2</v>
      </c>
      <c r="V74" s="5">
        <v>0.10029</v>
      </c>
      <c r="W74" s="5">
        <v>0.11402</v>
      </c>
      <c r="X74" s="5">
        <v>0.12876000000000001</v>
      </c>
      <c r="Y74" s="5">
        <v>0.14416999999999999</v>
      </c>
      <c r="Z74" s="5">
        <v>0.15978999999999999</v>
      </c>
    </row>
    <row r="75" spans="1:26" x14ac:dyDescent="0.3">
      <c r="A75" s="5">
        <v>68</v>
      </c>
      <c r="B75" s="5">
        <v>2.2300000000000002E-3</v>
      </c>
      <c r="C75" s="5">
        <v>3.9199999999999999E-3</v>
      </c>
      <c r="D75" s="5">
        <v>5.2700000000000004E-3</v>
      </c>
      <c r="E75" s="5">
        <v>6.6600000000000001E-3</v>
      </c>
      <c r="F75" s="5">
        <v>8.0700000000000008E-3</v>
      </c>
      <c r="G75" s="5">
        <v>9.3200000000000002E-3</v>
      </c>
      <c r="H75" s="5">
        <v>1.091E-2</v>
      </c>
      <c r="I75" s="5">
        <v>1.3180000000000001E-2</v>
      </c>
      <c r="J75" s="5">
        <v>1.6320000000000001E-2</v>
      </c>
      <c r="K75" s="5">
        <v>1.968E-2</v>
      </c>
      <c r="L75" s="5">
        <v>2.308E-2</v>
      </c>
      <c r="M75" s="5">
        <v>2.6870000000000002E-2</v>
      </c>
      <c r="N75" s="5">
        <v>3.1150000000000001E-2</v>
      </c>
      <c r="O75" s="5">
        <v>3.6679999999999997E-2</v>
      </c>
      <c r="P75" s="5">
        <v>4.2959999999999998E-2</v>
      </c>
      <c r="Q75" s="5">
        <v>5.2220000000000003E-2</v>
      </c>
      <c r="R75" s="5">
        <v>6.3810000000000006E-2</v>
      </c>
      <c r="S75" s="5">
        <v>7.5420000000000001E-2</v>
      </c>
      <c r="T75" s="5">
        <v>8.7870000000000004E-2</v>
      </c>
      <c r="U75" s="5">
        <v>0.10029</v>
      </c>
      <c r="V75" s="5">
        <v>0.11402</v>
      </c>
      <c r="W75" s="5">
        <v>0.12876000000000001</v>
      </c>
      <c r="X75" s="5">
        <v>0.14416999999999999</v>
      </c>
      <c r="Y75" s="5">
        <v>0.15978999999999999</v>
      </c>
      <c r="Z75" s="5">
        <v>0.17530000000000001</v>
      </c>
    </row>
    <row r="76" spans="1:26" x14ac:dyDescent="0.3">
      <c r="A76" s="5">
        <v>69</v>
      </c>
      <c r="B76" s="5">
        <v>2.4099999999999998E-3</v>
      </c>
      <c r="C76" s="5">
        <v>4.1900000000000001E-3</v>
      </c>
      <c r="D76" s="5">
        <v>5.8500000000000002E-3</v>
      </c>
      <c r="E76" s="5">
        <v>7.45E-3</v>
      </c>
      <c r="F76" s="5">
        <v>8.9300000000000004E-3</v>
      </c>
      <c r="G76" s="5">
        <v>1.0279999999999999E-2</v>
      </c>
      <c r="H76" s="5">
        <v>1.2109999999999999E-2</v>
      </c>
      <c r="I76" s="5">
        <v>1.504E-2</v>
      </c>
      <c r="J76" s="5">
        <v>1.8540000000000001E-2</v>
      </c>
      <c r="K76" s="5">
        <v>2.2380000000000001E-2</v>
      </c>
      <c r="L76" s="5">
        <v>2.6710000000000001E-2</v>
      </c>
      <c r="M76" s="5">
        <v>3.099E-2</v>
      </c>
      <c r="N76" s="5">
        <v>3.6459999999999999E-2</v>
      </c>
      <c r="O76" s="5">
        <v>4.2860000000000002E-2</v>
      </c>
      <c r="P76" s="5">
        <v>5.0840000000000003E-2</v>
      </c>
      <c r="Q76" s="5">
        <v>6.0940000000000001E-2</v>
      </c>
      <c r="R76" s="5">
        <v>7.4060000000000001E-2</v>
      </c>
      <c r="S76" s="5">
        <v>8.7040000000000006E-2</v>
      </c>
      <c r="T76" s="5">
        <v>0.10029</v>
      </c>
      <c r="U76" s="5">
        <v>0.11402</v>
      </c>
      <c r="V76" s="5">
        <v>0.12876000000000001</v>
      </c>
      <c r="W76" s="5">
        <v>0.14416999999999999</v>
      </c>
      <c r="X76" s="5">
        <v>0.15978999999999999</v>
      </c>
      <c r="Y76" s="5">
        <v>0.17530000000000001</v>
      </c>
      <c r="Z76" s="5">
        <v>0.19025</v>
      </c>
    </row>
    <row r="77" spans="1:26" x14ac:dyDescent="0.3">
      <c r="A77" s="5">
        <v>70</v>
      </c>
      <c r="B77" s="5">
        <v>2.5899999999999999E-3</v>
      </c>
      <c r="C77" s="5">
        <v>4.4099999999999999E-3</v>
      </c>
      <c r="D77" s="5">
        <v>6.3800000000000003E-3</v>
      </c>
      <c r="E77" s="5">
        <v>8.2100000000000003E-3</v>
      </c>
      <c r="F77" s="5">
        <v>9.6900000000000007E-3</v>
      </c>
      <c r="G77" s="5">
        <v>1.124E-2</v>
      </c>
      <c r="H77" s="5">
        <v>1.3599999999999999E-2</v>
      </c>
      <c r="I77" s="5">
        <v>1.7080000000000001E-2</v>
      </c>
      <c r="J77" s="5">
        <v>2.0740000000000001E-2</v>
      </c>
      <c r="K77" s="5">
        <v>2.5219999999999999E-2</v>
      </c>
      <c r="L77" s="5">
        <v>3.0759999999999999E-2</v>
      </c>
      <c r="M77" s="5">
        <v>3.6299999999999999E-2</v>
      </c>
      <c r="N77" s="5">
        <v>4.2680000000000003E-2</v>
      </c>
      <c r="O77" s="5">
        <v>5.0520000000000002E-2</v>
      </c>
      <c r="P77" s="5">
        <v>5.9159999999999997E-2</v>
      </c>
      <c r="Q77" s="5">
        <v>7.0860000000000006E-2</v>
      </c>
      <c r="R77" s="5">
        <v>8.5790000000000005E-2</v>
      </c>
      <c r="S77" s="5">
        <v>0.10029</v>
      </c>
      <c r="T77" s="5">
        <v>0.11402</v>
      </c>
      <c r="U77" s="5">
        <v>0.12876000000000001</v>
      </c>
      <c r="V77" s="5">
        <v>0.14416999999999999</v>
      </c>
      <c r="W77" s="5">
        <v>0.15978999999999999</v>
      </c>
      <c r="X77" s="5">
        <v>0.17530000000000001</v>
      </c>
      <c r="Y77" s="5">
        <v>0.19025</v>
      </c>
      <c r="Z77" s="5">
        <v>0.20394000000000001</v>
      </c>
    </row>
    <row r="78" spans="1:26" x14ac:dyDescent="0.3">
      <c r="A78" s="5">
        <v>71</v>
      </c>
      <c r="B78" s="5">
        <v>2.7799999999999999E-3</v>
      </c>
      <c r="C78" s="5">
        <v>4.62E-3</v>
      </c>
      <c r="D78" s="5">
        <v>6.9300000000000004E-3</v>
      </c>
      <c r="E78" s="5">
        <v>8.9899999999999997E-3</v>
      </c>
      <c r="F78" s="5">
        <v>1.0500000000000001E-2</v>
      </c>
      <c r="G78" s="5">
        <v>1.256E-2</v>
      </c>
      <c r="H78" s="5">
        <v>1.541E-2</v>
      </c>
      <c r="I78" s="5">
        <v>1.9040000000000001E-2</v>
      </c>
      <c r="J78" s="5">
        <v>2.333E-2</v>
      </c>
      <c r="K78" s="5">
        <v>2.887E-2</v>
      </c>
      <c r="L78" s="5">
        <v>3.5819999999999998E-2</v>
      </c>
      <c r="M78" s="5">
        <v>4.2560000000000001E-2</v>
      </c>
      <c r="N78" s="5">
        <v>5.0110000000000002E-2</v>
      </c>
      <c r="O78" s="5">
        <v>5.8749999999999997E-2</v>
      </c>
      <c r="P78" s="5">
        <v>6.7430000000000004E-2</v>
      </c>
      <c r="Q78" s="5">
        <v>8.1449999999999995E-2</v>
      </c>
      <c r="R78" s="5">
        <v>9.8110000000000003E-2</v>
      </c>
      <c r="S78" s="5">
        <v>0.11402</v>
      </c>
      <c r="T78" s="5">
        <v>0.12876000000000001</v>
      </c>
      <c r="U78" s="5">
        <v>0.14416999999999999</v>
      </c>
      <c r="V78" s="5">
        <v>0.15978999999999999</v>
      </c>
      <c r="W78" s="5">
        <v>0.17530000000000001</v>
      </c>
      <c r="X78" s="5">
        <v>0.19025</v>
      </c>
      <c r="Y78" s="5">
        <v>0.20394000000000001</v>
      </c>
      <c r="Z78" s="5">
        <v>0.21845000000000001</v>
      </c>
    </row>
    <row r="79" spans="1:26" x14ac:dyDescent="0.3">
      <c r="A79" s="5">
        <v>72</v>
      </c>
      <c r="B79" s="5">
        <v>3.0100000000000001E-3</v>
      </c>
      <c r="C79" s="5">
        <v>4.8999999999999998E-3</v>
      </c>
      <c r="D79" s="5">
        <v>7.5500000000000003E-3</v>
      </c>
      <c r="E79" s="5">
        <v>9.9000000000000008E-3</v>
      </c>
      <c r="F79" s="5">
        <v>1.175E-2</v>
      </c>
      <c r="G79" s="5">
        <v>1.4279999999999999E-2</v>
      </c>
      <c r="H79" s="5">
        <v>1.7399999999999999E-2</v>
      </c>
      <c r="I79" s="5">
        <v>2.1360000000000001E-2</v>
      </c>
      <c r="J79" s="5">
        <v>2.6780000000000002E-2</v>
      </c>
      <c r="K79" s="5">
        <v>3.3590000000000002E-2</v>
      </c>
      <c r="L79" s="5">
        <v>4.2110000000000002E-2</v>
      </c>
      <c r="M79" s="5">
        <v>4.9939999999999998E-2</v>
      </c>
      <c r="N79" s="5">
        <v>5.842E-2</v>
      </c>
      <c r="O79" s="5">
        <v>6.7280000000000006E-2</v>
      </c>
      <c r="P79" s="5">
        <v>7.918E-2</v>
      </c>
      <c r="Q79" s="5">
        <v>9.5560000000000006E-2</v>
      </c>
      <c r="R79" s="5">
        <v>0.11286</v>
      </c>
      <c r="S79" s="5">
        <v>0.12876000000000001</v>
      </c>
      <c r="T79" s="5">
        <v>0.14416999999999999</v>
      </c>
      <c r="U79" s="5">
        <v>0.15978999999999999</v>
      </c>
      <c r="V79" s="5">
        <v>0.17530000000000001</v>
      </c>
      <c r="W79" s="5">
        <v>0.19025</v>
      </c>
      <c r="X79" s="5">
        <v>0.20394000000000001</v>
      </c>
      <c r="Y79" s="5">
        <v>0.21845000000000001</v>
      </c>
      <c r="Z79" s="5">
        <v>0.23554</v>
      </c>
    </row>
    <row r="80" spans="1:26" x14ac:dyDescent="0.3">
      <c r="A80" s="5">
        <v>73</v>
      </c>
      <c r="B80" s="5">
        <v>3.3E-3</v>
      </c>
      <c r="C80" s="5">
        <v>5.3099999999999996E-3</v>
      </c>
      <c r="D80" s="5">
        <v>8.3700000000000007E-3</v>
      </c>
      <c r="E80" s="5">
        <v>1.107E-2</v>
      </c>
      <c r="F80" s="5">
        <v>1.3390000000000001E-2</v>
      </c>
      <c r="G80" s="5">
        <v>1.627E-2</v>
      </c>
      <c r="H80" s="5">
        <v>1.9900000000000001E-2</v>
      </c>
      <c r="I80" s="5">
        <v>2.445E-2</v>
      </c>
      <c r="J80" s="5">
        <v>3.108E-2</v>
      </c>
      <c r="K80" s="5">
        <v>3.9190000000000003E-2</v>
      </c>
      <c r="L80" s="5">
        <v>4.9689999999999998E-2</v>
      </c>
      <c r="M80" s="5">
        <v>5.8349999999999999E-2</v>
      </c>
      <c r="N80" s="5">
        <v>6.7199999999999996E-2</v>
      </c>
      <c r="O80" s="5">
        <v>7.8E-2</v>
      </c>
      <c r="P80" s="5">
        <v>9.3410000000000007E-2</v>
      </c>
      <c r="Q80" s="5">
        <v>0.11193</v>
      </c>
      <c r="R80" s="5">
        <v>0.12876000000000001</v>
      </c>
      <c r="S80" s="5">
        <v>0.14416999999999999</v>
      </c>
      <c r="T80" s="5">
        <v>0.15978999999999999</v>
      </c>
      <c r="U80" s="5">
        <v>0.17530000000000001</v>
      </c>
      <c r="V80" s="5">
        <v>0.19025</v>
      </c>
      <c r="W80" s="5">
        <v>0.20394000000000001</v>
      </c>
      <c r="X80" s="5">
        <v>0.21845000000000001</v>
      </c>
      <c r="Y80" s="5">
        <v>0.23554</v>
      </c>
      <c r="Z80" s="5">
        <v>0.25391999999999998</v>
      </c>
    </row>
    <row r="81" spans="1:26" x14ac:dyDescent="0.3">
      <c r="A81" s="5">
        <v>74</v>
      </c>
      <c r="B81" s="5">
        <v>3.65E-3</v>
      </c>
      <c r="C81" s="5">
        <v>5.8599999999999998E-3</v>
      </c>
      <c r="D81" s="5">
        <v>9.3699999999999999E-3</v>
      </c>
      <c r="E81" s="5">
        <v>1.2500000000000001E-2</v>
      </c>
      <c r="F81" s="5">
        <v>1.5219999999999999E-2</v>
      </c>
      <c r="G81" s="5">
        <v>1.866E-2</v>
      </c>
      <c r="H81" s="5">
        <v>2.299E-2</v>
      </c>
      <c r="I81" s="5">
        <v>2.8340000000000001E-2</v>
      </c>
      <c r="J81" s="5">
        <v>3.6220000000000002E-2</v>
      </c>
      <c r="K81" s="5">
        <v>4.573E-2</v>
      </c>
      <c r="L81" s="5">
        <v>5.8189999999999999E-2</v>
      </c>
      <c r="M81" s="5">
        <v>6.7129999999999995E-2</v>
      </c>
      <c r="N81" s="5">
        <v>7.7530000000000002E-2</v>
      </c>
      <c r="O81" s="5">
        <v>9.1649999999999995E-2</v>
      </c>
      <c r="P81" s="5">
        <v>0.10877000000000001</v>
      </c>
      <c r="Q81" s="5">
        <v>0.12795999999999999</v>
      </c>
      <c r="R81" s="5">
        <v>0.14416999999999999</v>
      </c>
      <c r="S81" s="5">
        <v>0.15978999999999999</v>
      </c>
      <c r="T81" s="5">
        <v>0.17530000000000001</v>
      </c>
      <c r="U81" s="5">
        <v>0.19025</v>
      </c>
      <c r="V81" s="5">
        <v>0.20394000000000001</v>
      </c>
      <c r="W81" s="5">
        <v>0.21845000000000001</v>
      </c>
      <c r="X81" s="5">
        <v>0.23554</v>
      </c>
      <c r="Y81" s="5">
        <v>0.25391999999999998</v>
      </c>
      <c r="Z81" s="5">
        <v>0.27363999999999999</v>
      </c>
    </row>
    <row r="82" spans="1:26" x14ac:dyDescent="0.3">
      <c r="A82" s="5">
        <v>75</v>
      </c>
      <c r="B82" s="5">
        <v>3.9899999999999996E-3</v>
      </c>
      <c r="C82" s="5">
        <v>6.4200000000000004E-3</v>
      </c>
      <c r="D82" s="5">
        <v>1.044E-2</v>
      </c>
      <c r="E82" s="5">
        <v>1.417E-2</v>
      </c>
      <c r="F82" s="5">
        <v>1.7420000000000001E-2</v>
      </c>
      <c r="G82" s="5">
        <v>2.1520000000000001E-2</v>
      </c>
      <c r="H82" s="5">
        <v>2.6599999999999999E-2</v>
      </c>
      <c r="I82" s="5">
        <v>3.2989999999999998E-2</v>
      </c>
      <c r="J82" s="5">
        <v>4.224E-2</v>
      </c>
      <c r="K82" s="5">
        <v>5.3010000000000002E-2</v>
      </c>
      <c r="L82" s="5">
        <v>6.6839999999999997E-2</v>
      </c>
      <c r="M82" s="5">
        <v>7.714E-2</v>
      </c>
      <c r="N82" s="5">
        <v>9.0910000000000005E-2</v>
      </c>
      <c r="O82" s="5">
        <v>0.10784000000000001</v>
      </c>
      <c r="P82" s="5">
        <v>0.12669</v>
      </c>
      <c r="Q82" s="5">
        <v>0.14416999999999999</v>
      </c>
      <c r="R82" s="5">
        <v>0.15978999999999999</v>
      </c>
      <c r="S82" s="5">
        <v>0.17530000000000001</v>
      </c>
      <c r="T82" s="5">
        <v>0.19025</v>
      </c>
      <c r="U82" s="5">
        <v>0.20394000000000001</v>
      </c>
      <c r="V82" s="5">
        <v>0.21845000000000001</v>
      </c>
      <c r="W82" s="5">
        <v>0.23554</v>
      </c>
      <c r="X82" s="5">
        <v>0.25391999999999998</v>
      </c>
      <c r="Y82" s="5">
        <v>0.27363999999999999</v>
      </c>
      <c r="Z82" s="5">
        <v>0.29431000000000002</v>
      </c>
    </row>
    <row r="83" spans="1:26" x14ac:dyDescent="0.3">
      <c r="A83" s="5">
        <v>76</v>
      </c>
      <c r="B83" s="5">
        <v>4.2399999999999998E-3</v>
      </c>
      <c r="C83" s="5">
        <v>6.8300000000000001E-3</v>
      </c>
      <c r="D83" s="5">
        <v>1.1259999999999999E-2</v>
      </c>
      <c r="E83" s="5">
        <v>1.5640000000000001E-2</v>
      </c>
      <c r="F83" s="5">
        <v>1.959E-2</v>
      </c>
      <c r="G83" s="5">
        <v>2.4279999999999999E-2</v>
      </c>
      <c r="H83" s="5">
        <v>3.0179999999999998E-2</v>
      </c>
      <c r="I83" s="5">
        <v>3.8429999999999999E-2</v>
      </c>
      <c r="J83" s="5">
        <v>4.897E-2</v>
      </c>
      <c r="K83" s="5">
        <v>6.0810000000000003E-2</v>
      </c>
      <c r="L83" s="5">
        <v>7.646E-2</v>
      </c>
      <c r="M83" s="5">
        <v>8.9990000000000001E-2</v>
      </c>
      <c r="N83" s="5">
        <v>0.10732</v>
      </c>
      <c r="O83" s="5">
        <v>0.12631000000000001</v>
      </c>
      <c r="P83" s="5">
        <v>0.14416999999999999</v>
      </c>
      <c r="Q83" s="5">
        <v>0.15978999999999999</v>
      </c>
      <c r="R83" s="5">
        <v>0.17530000000000001</v>
      </c>
      <c r="S83" s="5">
        <v>0.19025</v>
      </c>
      <c r="T83" s="5">
        <v>0.20394000000000001</v>
      </c>
      <c r="U83" s="5">
        <v>0.21845000000000001</v>
      </c>
      <c r="V83" s="5">
        <v>0.23554</v>
      </c>
      <c r="W83" s="5">
        <v>0.25391999999999998</v>
      </c>
      <c r="X83" s="5">
        <v>0.27363999999999999</v>
      </c>
      <c r="Y83" s="5">
        <v>0.29431000000000002</v>
      </c>
      <c r="Z83" s="5">
        <v>0.31552000000000002</v>
      </c>
    </row>
    <row r="84" spans="1:26" x14ac:dyDescent="0.3">
      <c r="A84" s="5">
        <v>77</v>
      </c>
      <c r="B84" s="5">
        <v>4.4200000000000003E-3</v>
      </c>
      <c r="C84" s="5">
        <v>7.1300000000000001E-3</v>
      </c>
      <c r="D84" s="5">
        <v>1.191E-2</v>
      </c>
      <c r="E84" s="5">
        <v>1.6910000000000001E-2</v>
      </c>
      <c r="F84" s="5">
        <v>2.146E-2</v>
      </c>
      <c r="G84" s="5">
        <v>2.7050000000000001E-2</v>
      </c>
      <c r="H84" s="5">
        <v>3.3750000000000002E-2</v>
      </c>
      <c r="I84" s="5">
        <v>4.4560000000000002E-2</v>
      </c>
      <c r="J84" s="5">
        <v>5.6239999999999998E-2</v>
      </c>
      <c r="K84" s="5">
        <v>6.9320000000000007E-2</v>
      </c>
      <c r="L84" s="5">
        <v>8.8550000000000004E-2</v>
      </c>
      <c r="M84" s="5">
        <v>0.10591</v>
      </c>
      <c r="N84" s="5">
        <v>0.12547</v>
      </c>
      <c r="O84" s="5">
        <v>0.14416999999999999</v>
      </c>
      <c r="P84" s="5">
        <v>0.15978999999999999</v>
      </c>
      <c r="Q84" s="5">
        <v>0.17530000000000001</v>
      </c>
      <c r="R84" s="5">
        <v>0.19025</v>
      </c>
      <c r="S84" s="5">
        <v>0.20394000000000001</v>
      </c>
      <c r="T84" s="5">
        <v>0.21845000000000001</v>
      </c>
      <c r="U84" s="5">
        <v>0.23554</v>
      </c>
      <c r="V84" s="5">
        <v>0.25391999999999998</v>
      </c>
      <c r="W84" s="5">
        <v>0.27363999999999999</v>
      </c>
      <c r="X84" s="5">
        <v>0.29431000000000002</v>
      </c>
      <c r="Y84" s="5">
        <v>0.31552000000000002</v>
      </c>
      <c r="Z84" s="5">
        <v>0.33699000000000001</v>
      </c>
    </row>
    <row r="85" spans="1:26" x14ac:dyDescent="0.3">
      <c r="A85" s="5">
        <v>78</v>
      </c>
      <c r="B85" s="5">
        <v>4.6100000000000004E-3</v>
      </c>
      <c r="C85" s="5">
        <v>7.4700000000000001E-3</v>
      </c>
      <c r="D85" s="5">
        <v>1.2670000000000001E-2</v>
      </c>
      <c r="E85" s="5">
        <v>1.8280000000000001E-2</v>
      </c>
      <c r="F85" s="5">
        <v>2.3429999999999999E-2</v>
      </c>
      <c r="G85" s="5">
        <v>2.997E-2</v>
      </c>
      <c r="H85" s="5">
        <v>3.7780000000000001E-2</v>
      </c>
      <c r="I85" s="5">
        <v>5.0319999999999997E-2</v>
      </c>
      <c r="J85" s="5">
        <v>6.3250000000000001E-2</v>
      </c>
      <c r="K85" s="5">
        <v>7.893E-2</v>
      </c>
      <c r="L85" s="5">
        <v>0.10253</v>
      </c>
      <c r="M85" s="5">
        <v>0.12295</v>
      </c>
      <c r="N85" s="5">
        <v>0.14348</v>
      </c>
      <c r="O85" s="5">
        <v>0.15978999999999999</v>
      </c>
      <c r="P85" s="5">
        <v>0.17530000000000001</v>
      </c>
      <c r="Q85" s="5">
        <v>0.19025</v>
      </c>
      <c r="R85" s="5">
        <v>0.20394000000000001</v>
      </c>
      <c r="S85" s="5">
        <v>0.21845000000000001</v>
      </c>
      <c r="T85" s="5">
        <v>0.23554</v>
      </c>
      <c r="U85" s="5">
        <v>0.25391999999999998</v>
      </c>
      <c r="V85" s="5">
        <v>0.27363999999999999</v>
      </c>
      <c r="W85" s="5">
        <v>0.29431000000000002</v>
      </c>
      <c r="X85" s="5">
        <v>0.31552000000000002</v>
      </c>
      <c r="Y85" s="5">
        <v>0.33699000000000001</v>
      </c>
      <c r="Z85" s="5">
        <v>0.35854000000000003</v>
      </c>
    </row>
    <row r="86" spans="1:26" x14ac:dyDescent="0.3">
      <c r="A86" s="5">
        <v>79</v>
      </c>
      <c r="B86" s="5">
        <v>4.7800000000000004E-3</v>
      </c>
      <c r="C86" s="5">
        <v>7.7999999999999996E-3</v>
      </c>
      <c r="D86" s="5">
        <v>1.345E-2</v>
      </c>
      <c r="E86" s="5">
        <v>1.9740000000000001E-2</v>
      </c>
      <c r="F86" s="5">
        <v>2.5520000000000001E-2</v>
      </c>
      <c r="G86" s="5">
        <v>3.2599999999999997E-2</v>
      </c>
      <c r="H86" s="5">
        <v>4.1980000000000003E-2</v>
      </c>
      <c r="I86" s="5">
        <v>5.5300000000000002E-2</v>
      </c>
      <c r="J86" s="5">
        <v>7.0080000000000003E-2</v>
      </c>
      <c r="K86" s="5">
        <v>8.9810000000000001E-2</v>
      </c>
      <c r="L86" s="5">
        <v>0.11804000000000001</v>
      </c>
      <c r="M86" s="5">
        <v>0.14166000000000001</v>
      </c>
      <c r="N86" s="5">
        <v>0.15978999999999999</v>
      </c>
      <c r="O86" s="5">
        <v>0.17530000000000001</v>
      </c>
      <c r="P86" s="5">
        <v>0.19025</v>
      </c>
      <c r="Q86" s="5">
        <v>0.20394000000000001</v>
      </c>
      <c r="R86" s="5">
        <v>0.21845000000000001</v>
      </c>
      <c r="S86" s="5">
        <v>0.23554</v>
      </c>
      <c r="T86" s="5">
        <v>0.25391999999999998</v>
      </c>
      <c r="U86" s="5">
        <v>0.27363999999999999</v>
      </c>
      <c r="V86" s="5">
        <v>0.29431000000000002</v>
      </c>
      <c r="W86" s="5">
        <v>0.31552000000000002</v>
      </c>
      <c r="X86" s="5">
        <v>0.33699000000000001</v>
      </c>
      <c r="Y86" s="5">
        <v>0.35854000000000003</v>
      </c>
      <c r="Z86" s="5">
        <v>0.37980999999999998</v>
      </c>
    </row>
    <row r="87" spans="1:26" x14ac:dyDescent="0.3">
      <c r="A87" s="5">
        <v>80</v>
      </c>
      <c r="B87" s="5">
        <v>5.0699999999999999E-3</v>
      </c>
      <c r="C87" s="5">
        <v>8.3400000000000002E-3</v>
      </c>
      <c r="D87" s="5">
        <v>1.472E-2</v>
      </c>
      <c r="E87" s="5">
        <v>2.1899999999999999E-2</v>
      </c>
      <c r="F87" s="5">
        <v>2.8330000000000001E-2</v>
      </c>
      <c r="G87" s="5">
        <v>3.6229999999999998E-2</v>
      </c>
      <c r="H87" s="5">
        <v>4.7460000000000002E-2</v>
      </c>
      <c r="I87" s="5">
        <v>6.1699999999999998E-2</v>
      </c>
      <c r="J87" s="5">
        <v>8.004E-2</v>
      </c>
      <c r="K87" s="5">
        <v>0.10419</v>
      </c>
      <c r="L87" s="5">
        <v>0.13536999999999999</v>
      </c>
      <c r="M87" s="5">
        <v>0.15978999999999999</v>
      </c>
      <c r="N87" s="5">
        <v>0.17530000000000001</v>
      </c>
      <c r="O87" s="5">
        <v>0.19025</v>
      </c>
      <c r="P87" s="5">
        <v>0.20394000000000001</v>
      </c>
      <c r="Q87" s="5">
        <v>0.21845000000000001</v>
      </c>
      <c r="R87" s="5">
        <v>0.23554</v>
      </c>
      <c r="S87" s="5">
        <v>0.25391999999999998</v>
      </c>
      <c r="T87" s="5">
        <v>0.27363999999999999</v>
      </c>
      <c r="U87" s="5">
        <v>0.29431000000000002</v>
      </c>
      <c r="V87" s="5">
        <v>0.31552000000000002</v>
      </c>
      <c r="W87" s="5">
        <v>0.33699000000000001</v>
      </c>
      <c r="X87" s="5">
        <v>0.35854000000000003</v>
      </c>
      <c r="Y87" s="5">
        <v>0.37980999999999998</v>
      </c>
      <c r="Z87" s="5">
        <v>0.40044000000000002</v>
      </c>
    </row>
    <row r="88" spans="1:26" x14ac:dyDescent="0.3">
      <c r="A88" s="5">
        <v>81</v>
      </c>
      <c r="B88" s="5">
        <v>5.5399999999999998E-3</v>
      </c>
      <c r="C88" s="5">
        <v>9.2099999999999994E-3</v>
      </c>
      <c r="D88" s="5">
        <v>1.668E-2</v>
      </c>
      <c r="E88" s="5">
        <v>2.5020000000000001E-2</v>
      </c>
      <c r="F88" s="5">
        <v>3.2419999999999997E-2</v>
      </c>
      <c r="G88" s="5">
        <v>4.1399999999999999E-2</v>
      </c>
      <c r="H88" s="5">
        <v>5.5050000000000002E-2</v>
      </c>
      <c r="I88" s="5">
        <v>7.2279999999999997E-2</v>
      </c>
      <c r="J88" s="5">
        <v>9.4850000000000004E-2</v>
      </c>
      <c r="K88" s="5">
        <v>0.12534000000000001</v>
      </c>
      <c r="L88" s="5">
        <v>0.15565000000000001</v>
      </c>
      <c r="M88" s="5">
        <v>0.17530000000000001</v>
      </c>
      <c r="N88" s="5">
        <v>0.19025</v>
      </c>
      <c r="O88" s="5">
        <v>0.20394000000000001</v>
      </c>
      <c r="P88" s="5">
        <v>0.21845000000000001</v>
      </c>
      <c r="Q88" s="5">
        <v>0.23554</v>
      </c>
      <c r="R88" s="5">
        <v>0.25391999999999998</v>
      </c>
      <c r="S88" s="5">
        <v>0.27363999999999999</v>
      </c>
      <c r="T88" s="5">
        <v>0.29431000000000002</v>
      </c>
      <c r="U88" s="5">
        <v>0.31552000000000002</v>
      </c>
      <c r="V88" s="5">
        <v>0.33699000000000001</v>
      </c>
      <c r="W88" s="5">
        <v>0.35854000000000003</v>
      </c>
      <c r="X88" s="5">
        <v>0.37980999999999998</v>
      </c>
      <c r="Y88" s="5">
        <v>0.40044000000000002</v>
      </c>
      <c r="Z88" s="5">
        <v>0.42009000000000002</v>
      </c>
    </row>
    <row r="89" spans="1:26" x14ac:dyDescent="0.3">
      <c r="A89" s="5">
        <v>82</v>
      </c>
      <c r="B89" s="5">
        <v>6.2399999999999999E-3</v>
      </c>
      <c r="C89" s="5">
        <v>1.0500000000000001E-2</v>
      </c>
      <c r="D89" s="5">
        <v>1.9460000000000002E-2</v>
      </c>
      <c r="E89" s="5">
        <v>2.9309999999999999E-2</v>
      </c>
      <c r="F89" s="5">
        <v>3.8219999999999997E-2</v>
      </c>
      <c r="G89" s="5">
        <v>4.8800000000000003E-2</v>
      </c>
      <c r="H89" s="5">
        <v>6.5689999999999998E-2</v>
      </c>
      <c r="I89" s="5">
        <v>8.8249999999999995E-2</v>
      </c>
      <c r="J89" s="5">
        <v>0.11704000000000001</v>
      </c>
      <c r="K89" s="5">
        <v>0.15245</v>
      </c>
      <c r="L89" s="5">
        <v>0.17530000000000001</v>
      </c>
      <c r="M89" s="5">
        <v>0.19025</v>
      </c>
      <c r="N89" s="5">
        <v>0.20394000000000001</v>
      </c>
      <c r="O89" s="5">
        <v>0.21845000000000001</v>
      </c>
      <c r="P89" s="5">
        <v>0.23554</v>
      </c>
      <c r="Q89" s="5">
        <v>0.25391999999999998</v>
      </c>
      <c r="R89" s="5">
        <v>0.27363999999999999</v>
      </c>
      <c r="S89" s="5">
        <v>0.29431000000000002</v>
      </c>
      <c r="T89" s="5">
        <v>0.31552000000000002</v>
      </c>
      <c r="U89" s="5">
        <v>0.33699000000000001</v>
      </c>
      <c r="V89" s="5">
        <v>0.35854000000000003</v>
      </c>
      <c r="W89" s="5">
        <v>0.37980999999999998</v>
      </c>
      <c r="X89" s="5">
        <v>0.40044000000000002</v>
      </c>
      <c r="Y89" s="5">
        <v>0.42009000000000002</v>
      </c>
      <c r="Z89" s="5">
        <v>0.43840000000000001</v>
      </c>
    </row>
    <row r="90" spans="1:26" x14ac:dyDescent="0.3">
      <c r="A90" s="5">
        <v>83</v>
      </c>
      <c r="B90" s="5">
        <v>7.2700000000000004E-3</v>
      </c>
      <c r="C90" s="5">
        <v>1.2500000000000001E-2</v>
      </c>
      <c r="D90" s="5">
        <v>2.3820000000000001E-2</v>
      </c>
      <c r="E90" s="5">
        <v>3.5999999999999997E-2</v>
      </c>
      <c r="F90" s="5">
        <v>4.7190000000000003E-2</v>
      </c>
      <c r="G90" s="5">
        <v>6.1039999999999997E-2</v>
      </c>
      <c r="H90" s="5">
        <v>8.2299999999999998E-2</v>
      </c>
      <c r="I90" s="5">
        <v>0.11308</v>
      </c>
      <c r="J90" s="5">
        <v>0.14882000000000001</v>
      </c>
      <c r="K90" s="5">
        <v>0.17530000000000001</v>
      </c>
      <c r="L90" s="5">
        <v>0.19025</v>
      </c>
      <c r="M90" s="5">
        <v>0.20394000000000001</v>
      </c>
      <c r="N90" s="5">
        <v>0.21845000000000001</v>
      </c>
      <c r="O90" s="5">
        <v>0.23554</v>
      </c>
      <c r="P90" s="5">
        <v>0.25391999999999998</v>
      </c>
      <c r="Q90" s="5">
        <v>0.27363999999999999</v>
      </c>
      <c r="R90" s="5">
        <v>0.29431000000000002</v>
      </c>
      <c r="S90" s="5">
        <v>0.31552000000000002</v>
      </c>
      <c r="T90" s="5">
        <v>0.33699000000000001</v>
      </c>
      <c r="U90" s="5">
        <v>0.35854000000000003</v>
      </c>
      <c r="V90" s="5">
        <v>0.37980999999999998</v>
      </c>
      <c r="W90" s="5">
        <v>0.40044000000000002</v>
      </c>
      <c r="X90" s="5">
        <v>0.42009000000000002</v>
      </c>
      <c r="Y90" s="5">
        <v>0.43840000000000001</v>
      </c>
      <c r="Z90" s="5">
        <v>0.45501000000000003</v>
      </c>
    </row>
    <row r="91" spans="1:26" x14ac:dyDescent="0.3">
      <c r="A91" s="5">
        <v>84</v>
      </c>
      <c r="B91" s="5">
        <v>8.5699999999999995E-3</v>
      </c>
      <c r="C91" s="5">
        <v>1.511E-2</v>
      </c>
      <c r="D91" s="5">
        <v>2.954E-2</v>
      </c>
      <c r="E91" s="5">
        <v>4.4819999999999999E-2</v>
      </c>
      <c r="F91" s="5">
        <v>5.935E-2</v>
      </c>
      <c r="G91" s="5">
        <v>7.8130000000000005E-2</v>
      </c>
      <c r="H91" s="5">
        <v>0.10578</v>
      </c>
      <c r="I91" s="5">
        <v>0.14091999999999999</v>
      </c>
      <c r="J91" s="5">
        <v>0.17530000000000001</v>
      </c>
      <c r="K91" s="5">
        <v>0.19025</v>
      </c>
      <c r="L91" s="5">
        <v>0.20394000000000001</v>
      </c>
      <c r="M91" s="5">
        <v>0.21845000000000001</v>
      </c>
      <c r="N91" s="5">
        <v>0.23554</v>
      </c>
      <c r="O91" s="5">
        <v>0.25391999999999998</v>
      </c>
      <c r="P91" s="5">
        <v>0.27363999999999999</v>
      </c>
      <c r="Q91" s="5">
        <v>0.29431000000000002</v>
      </c>
      <c r="R91" s="5">
        <v>0.31552000000000002</v>
      </c>
      <c r="S91" s="5">
        <v>0.33699000000000001</v>
      </c>
      <c r="T91" s="5">
        <v>0.35854000000000003</v>
      </c>
      <c r="U91" s="5">
        <v>0.37980999999999998</v>
      </c>
      <c r="V91" s="5">
        <v>0.40044000000000002</v>
      </c>
      <c r="W91" s="5">
        <v>0.42009000000000002</v>
      </c>
      <c r="X91" s="5">
        <v>0.43840000000000001</v>
      </c>
      <c r="Y91" s="5">
        <v>0.45501000000000003</v>
      </c>
      <c r="Z91" s="5">
        <v>0.46955999999999998</v>
      </c>
    </row>
    <row r="92" spans="1:26" x14ac:dyDescent="0.3">
      <c r="A92" s="5">
        <v>85</v>
      </c>
      <c r="B92" s="5">
        <v>1.025E-2</v>
      </c>
      <c r="C92" s="5">
        <v>1.8419999999999999E-2</v>
      </c>
      <c r="D92" s="5">
        <v>3.678E-2</v>
      </c>
      <c r="E92" s="5">
        <v>5.6169999999999998E-2</v>
      </c>
      <c r="F92" s="5">
        <v>7.5649999999999995E-2</v>
      </c>
      <c r="G92" s="5">
        <v>0.10097</v>
      </c>
      <c r="H92" s="5">
        <v>0.13391</v>
      </c>
      <c r="I92" s="5">
        <v>0.16750999999999999</v>
      </c>
      <c r="J92" s="5">
        <v>0.19025</v>
      </c>
      <c r="K92" s="5">
        <v>0.20394000000000001</v>
      </c>
      <c r="L92" s="5">
        <v>0.21845000000000001</v>
      </c>
      <c r="M92" s="5">
        <v>0.23554</v>
      </c>
      <c r="N92" s="5">
        <v>0.25391999999999998</v>
      </c>
      <c r="O92" s="5">
        <v>0.27363999999999999</v>
      </c>
      <c r="P92" s="5">
        <v>0.29431000000000002</v>
      </c>
      <c r="Q92" s="5">
        <v>0.31552000000000002</v>
      </c>
      <c r="R92" s="5">
        <v>0.33699000000000001</v>
      </c>
      <c r="S92" s="5">
        <v>0.35854000000000003</v>
      </c>
      <c r="T92" s="5">
        <v>0.37980999999999998</v>
      </c>
      <c r="U92" s="5">
        <v>0.40044000000000002</v>
      </c>
      <c r="V92" s="5">
        <v>0.42009000000000002</v>
      </c>
      <c r="W92" s="5">
        <v>0.43840000000000001</v>
      </c>
      <c r="X92" s="5">
        <v>0.45501000000000003</v>
      </c>
      <c r="Y92" s="5">
        <v>0.46955999999999998</v>
      </c>
      <c r="Z92" s="5">
        <v>0.48170000000000002</v>
      </c>
    </row>
    <row r="93" spans="1:26" x14ac:dyDescent="0.3">
      <c r="A93" s="5">
        <v>86</v>
      </c>
      <c r="B93" s="5">
        <v>1.2319999999999999E-2</v>
      </c>
      <c r="C93" s="5">
        <v>2.2630000000000001E-2</v>
      </c>
      <c r="D93" s="5">
        <v>4.6129999999999997E-2</v>
      </c>
      <c r="E93" s="5">
        <v>7.1550000000000002E-2</v>
      </c>
      <c r="F93" s="5">
        <v>9.7659999999999997E-2</v>
      </c>
      <c r="G93" s="5">
        <v>0.12969</v>
      </c>
      <c r="H93" s="5">
        <v>0.16542000000000001</v>
      </c>
      <c r="I93" s="5">
        <v>0.19025</v>
      </c>
      <c r="J93" s="5">
        <v>0.20394000000000001</v>
      </c>
      <c r="K93" s="5">
        <v>0.21845000000000001</v>
      </c>
      <c r="L93" s="5">
        <v>0.23554</v>
      </c>
      <c r="M93" s="5">
        <v>0.25391999999999998</v>
      </c>
      <c r="N93" s="5">
        <v>0.27363999999999999</v>
      </c>
      <c r="O93" s="5">
        <v>0.29431000000000002</v>
      </c>
      <c r="P93" s="5">
        <v>0.31552000000000002</v>
      </c>
      <c r="Q93" s="5">
        <v>0.33699000000000001</v>
      </c>
      <c r="R93" s="5">
        <v>0.35854000000000003</v>
      </c>
      <c r="S93" s="5">
        <v>0.37980999999999998</v>
      </c>
      <c r="T93" s="5">
        <v>0.40044000000000002</v>
      </c>
      <c r="U93" s="5">
        <v>0.42009000000000002</v>
      </c>
      <c r="V93" s="5">
        <v>0.43840000000000001</v>
      </c>
      <c r="W93" s="5">
        <v>0.45501000000000003</v>
      </c>
      <c r="X93" s="5">
        <v>0.46955999999999998</v>
      </c>
      <c r="Y93" s="5">
        <v>0.48170000000000002</v>
      </c>
      <c r="Z93" s="5">
        <v>0.49107000000000001</v>
      </c>
    </row>
    <row r="94" spans="1:26" x14ac:dyDescent="0.3">
      <c r="A94" s="5">
        <v>87</v>
      </c>
      <c r="B94" s="5">
        <v>1.455E-2</v>
      </c>
      <c r="C94" s="5">
        <v>2.75E-2</v>
      </c>
      <c r="D94" s="5">
        <v>5.7180000000000002E-2</v>
      </c>
      <c r="E94" s="5">
        <v>9.0240000000000001E-2</v>
      </c>
      <c r="F94" s="5">
        <v>0.12429999999999999</v>
      </c>
      <c r="G94" s="5">
        <v>0.16339999999999999</v>
      </c>
      <c r="H94" s="5">
        <v>0.19025</v>
      </c>
      <c r="I94" s="5">
        <v>0.20394000000000001</v>
      </c>
      <c r="J94" s="5">
        <v>0.21845000000000001</v>
      </c>
      <c r="K94" s="5">
        <v>0.23554</v>
      </c>
      <c r="L94" s="5">
        <v>0.25391999999999998</v>
      </c>
      <c r="M94" s="5">
        <v>0.27363999999999999</v>
      </c>
      <c r="N94" s="5">
        <v>0.29431000000000002</v>
      </c>
      <c r="O94" s="5">
        <v>0.31552000000000002</v>
      </c>
      <c r="P94" s="5">
        <v>0.33699000000000001</v>
      </c>
      <c r="Q94" s="5">
        <v>0.35854000000000003</v>
      </c>
      <c r="R94" s="5">
        <v>0.37980999999999998</v>
      </c>
      <c r="S94" s="5">
        <v>0.40044000000000002</v>
      </c>
      <c r="T94" s="5">
        <v>0.42009000000000002</v>
      </c>
      <c r="U94" s="5">
        <v>0.43840000000000001</v>
      </c>
      <c r="V94" s="5">
        <v>0.45501000000000003</v>
      </c>
      <c r="W94" s="5">
        <v>0.46955999999999998</v>
      </c>
      <c r="X94" s="5">
        <v>0.48170000000000002</v>
      </c>
      <c r="Y94" s="5">
        <v>0.49107000000000001</v>
      </c>
      <c r="Z94" s="5">
        <v>0.49730999999999997</v>
      </c>
    </row>
    <row r="95" spans="1:26" x14ac:dyDescent="0.3">
      <c r="A95" s="5">
        <v>88</v>
      </c>
      <c r="B95" s="5">
        <v>1.6830000000000001E-2</v>
      </c>
      <c r="C95" s="5">
        <v>3.2620000000000003E-2</v>
      </c>
      <c r="D95" s="5">
        <v>6.9540000000000005E-2</v>
      </c>
      <c r="E95" s="5">
        <v>0.11142000000000001</v>
      </c>
      <c r="F95" s="5">
        <v>0.15375</v>
      </c>
      <c r="G95" s="5">
        <v>0.19025</v>
      </c>
      <c r="H95" s="5">
        <v>0.20394000000000001</v>
      </c>
      <c r="I95" s="5">
        <v>0.21845000000000001</v>
      </c>
      <c r="J95" s="5">
        <v>0.23554</v>
      </c>
      <c r="K95" s="5">
        <v>0.25391999999999998</v>
      </c>
      <c r="L95" s="5">
        <v>0.27363999999999999</v>
      </c>
      <c r="M95" s="5">
        <v>0.29431000000000002</v>
      </c>
      <c r="N95" s="5">
        <v>0.31552000000000002</v>
      </c>
      <c r="O95" s="5">
        <v>0.33699000000000001</v>
      </c>
      <c r="P95" s="5">
        <v>0.35854000000000003</v>
      </c>
      <c r="Q95" s="5">
        <v>0.37980999999999998</v>
      </c>
      <c r="R95" s="5">
        <v>0.40044000000000002</v>
      </c>
      <c r="S95" s="5">
        <v>0.42009000000000002</v>
      </c>
      <c r="T95" s="5">
        <v>0.43840000000000001</v>
      </c>
      <c r="U95" s="5">
        <v>0.45501000000000003</v>
      </c>
      <c r="V95" s="5">
        <v>0.46955999999999998</v>
      </c>
      <c r="W95" s="5">
        <v>0.48170000000000002</v>
      </c>
      <c r="X95" s="5">
        <v>0.49107000000000001</v>
      </c>
      <c r="Y95" s="5">
        <v>0.49730999999999997</v>
      </c>
      <c r="Z95" s="5">
        <v>0.5</v>
      </c>
    </row>
    <row r="96" spans="1:26" x14ac:dyDescent="0.3">
      <c r="A96" s="5">
        <v>89</v>
      </c>
      <c r="B96" s="5">
        <v>1.934E-2</v>
      </c>
      <c r="C96" s="5">
        <v>3.8129999999999997E-2</v>
      </c>
      <c r="D96" s="5">
        <v>8.3500000000000005E-2</v>
      </c>
      <c r="E96" s="5">
        <v>0.13622000000000001</v>
      </c>
      <c r="F96" s="5">
        <v>0.18290000000000001</v>
      </c>
      <c r="G96" s="5">
        <v>0.20394000000000001</v>
      </c>
      <c r="H96" s="5">
        <v>0.21845000000000001</v>
      </c>
      <c r="I96" s="5">
        <v>0.23554</v>
      </c>
      <c r="J96" s="5">
        <v>0.25391999999999998</v>
      </c>
      <c r="K96" s="5">
        <v>0.27363999999999999</v>
      </c>
      <c r="L96" s="5">
        <v>0.29431000000000002</v>
      </c>
      <c r="M96" s="5">
        <v>0.31552000000000002</v>
      </c>
      <c r="N96" s="5">
        <v>0.33699000000000001</v>
      </c>
      <c r="O96" s="5">
        <v>0.35854000000000003</v>
      </c>
      <c r="P96" s="5">
        <v>0.37980999999999998</v>
      </c>
      <c r="Q96" s="5">
        <v>0.40044000000000002</v>
      </c>
      <c r="R96" s="5">
        <v>0.42009000000000002</v>
      </c>
      <c r="S96" s="5">
        <v>0.43840000000000001</v>
      </c>
      <c r="T96" s="5">
        <v>0.45501000000000003</v>
      </c>
      <c r="U96" s="5">
        <v>0.46955999999999998</v>
      </c>
      <c r="V96" s="5">
        <v>0.48170000000000002</v>
      </c>
      <c r="W96" s="5">
        <v>0.49107000000000001</v>
      </c>
      <c r="X96" s="5">
        <v>0.49730999999999997</v>
      </c>
      <c r="Y96" s="5">
        <v>0.5</v>
      </c>
      <c r="Z96" s="5">
        <v>0.5</v>
      </c>
    </row>
    <row r="97" spans="1:26" x14ac:dyDescent="0.3">
      <c r="A97" s="5">
        <v>90</v>
      </c>
      <c r="B97" s="5">
        <v>2.3369999999999998E-2</v>
      </c>
      <c r="C97" s="5">
        <v>5.2470000000000003E-2</v>
      </c>
      <c r="D97" s="5">
        <v>0.11346000000000001</v>
      </c>
      <c r="E97" s="5">
        <v>0.17266999999999999</v>
      </c>
      <c r="F97" s="5">
        <v>0.20394000000000001</v>
      </c>
      <c r="G97" s="5">
        <v>0.21845000000000001</v>
      </c>
      <c r="H97" s="5">
        <v>0.23554</v>
      </c>
      <c r="I97" s="5">
        <v>0.25391999999999998</v>
      </c>
      <c r="J97" s="5">
        <v>0.27363999999999999</v>
      </c>
      <c r="K97" s="5">
        <v>0.29431000000000002</v>
      </c>
      <c r="L97" s="5">
        <v>0.31552000000000002</v>
      </c>
      <c r="M97" s="5">
        <v>0.33699000000000001</v>
      </c>
      <c r="N97" s="5">
        <v>0.35854000000000003</v>
      </c>
      <c r="O97" s="5">
        <v>0.37980999999999998</v>
      </c>
      <c r="P97" s="5">
        <v>0.40044000000000002</v>
      </c>
      <c r="Q97" s="5">
        <v>0.42009000000000002</v>
      </c>
      <c r="R97" s="5">
        <v>0.43840000000000001</v>
      </c>
      <c r="S97" s="5">
        <v>0.45501000000000003</v>
      </c>
      <c r="T97" s="5">
        <v>0.46955999999999998</v>
      </c>
      <c r="U97" s="5">
        <v>0.48170000000000002</v>
      </c>
      <c r="V97" s="5">
        <v>0.49107000000000001</v>
      </c>
      <c r="W97" s="5">
        <v>0.49730999999999997</v>
      </c>
      <c r="X97" s="5">
        <v>0.5</v>
      </c>
      <c r="Y97" s="5">
        <v>0.5</v>
      </c>
      <c r="Z97" s="5">
        <v>0.5</v>
      </c>
    </row>
    <row r="98" spans="1:26" x14ac:dyDescent="0.3">
      <c r="A98" s="5">
        <v>91</v>
      </c>
      <c r="B98" s="5">
        <v>3.159E-2</v>
      </c>
      <c r="C98" s="5">
        <v>7.9880000000000007E-2</v>
      </c>
      <c r="D98" s="5">
        <v>0.16578000000000001</v>
      </c>
      <c r="E98" s="5">
        <v>0.20394000000000001</v>
      </c>
      <c r="F98" s="5">
        <v>0.21845000000000001</v>
      </c>
      <c r="G98" s="5">
        <v>0.23554</v>
      </c>
      <c r="H98" s="5">
        <v>0.25391999999999998</v>
      </c>
      <c r="I98" s="5">
        <v>0.27363999999999999</v>
      </c>
      <c r="J98" s="5">
        <v>0.29431000000000002</v>
      </c>
      <c r="K98" s="5">
        <v>0.31552000000000002</v>
      </c>
      <c r="L98" s="5">
        <v>0.33699000000000001</v>
      </c>
      <c r="M98" s="5">
        <v>0.35854000000000003</v>
      </c>
      <c r="N98" s="5">
        <v>0.37980999999999998</v>
      </c>
      <c r="O98" s="5">
        <v>0.40044000000000002</v>
      </c>
      <c r="P98" s="5">
        <v>0.42009000000000002</v>
      </c>
      <c r="Q98" s="5">
        <v>0.43840000000000001</v>
      </c>
      <c r="R98" s="5">
        <v>0.45501000000000003</v>
      </c>
      <c r="S98" s="5">
        <v>0.46955999999999998</v>
      </c>
      <c r="T98" s="5">
        <v>0.48170000000000002</v>
      </c>
      <c r="U98" s="5">
        <v>0.49107000000000001</v>
      </c>
      <c r="V98" s="5">
        <v>0.49730999999999997</v>
      </c>
      <c r="W98" s="5">
        <v>0.5</v>
      </c>
      <c r="X98" s="5">
        <v>0.5</v>
      </c>
      <c r="Y98" s="5">
        <v>0.5</v>
      </c>
      <c r="Z98" s="5">
        <v>0.5</v>
      </c>
    </row>
    <row r="99" spans="1:26" x14ac:dyDescent="0.3">
      <c r="A99" s="5">
        <v>92</v>
      </c>
      <c r="B99" s="5">
        <v>4.6100000000000002E-2</v>
      </c>
      <c r="C99" s="5">
        <v>0.11711000000000001</v>
      </c>
      <c r="D99" s="5">
        <v>0.20394000000000001</v>
      </c>
      <c r="E99" s="5">
        <v>0.21845000000000001</v>
      </c>
      <c r="F99" s="5">
        <v>0.23554</v>
      </c>
      <c r="G99" s="5">
        <v>0.25391999999999998</v>
      </c>
      <c r="H99" s="5">
        <v>0.27363999999999999</v>
      </c>
      <c r="I99" s="5">
        <v>0.29431000000000002</v>
      </c>
      <c r="J99" s="5">
        <v>0.31552000000000002</v>
      </c>
      <c r="K99" s="5">
        <v>0.33699000000000001</v>
      </c>
      <c r="L99" s="5">
        <v>0.35854000000000003</v>
      </c>
      <c r="M99" s="5">
        <v>0.37980999999999998</v>
      </c>
      <c r="N99" s="5">
        <v>0.40044000000000002</v>
      </c>
      <c r="O99" s="5">
        <v>0.42009000000000002</v>
      </c>
      <c r="P99" s="5">
        <v>0.43840000000000001</v>
      </c>
      <c r="Q99" s="5">
        <v>0.45501000000000003</v>
      </c>
      <c r="R99" s="5">
        <v>0.46955999999999998</v>
      </c>
      <c r="S99" s="5">
        <v>0.48170000000000002</v>
      </c>
      <c r="T99" s="5">
        <v>0.49107000000000001</v>
      </c>
      <c r="U99" s="5">
        <v>0.49730999999999997</v>
      </c>
      <c r="V99" s="5">
        <v>0.5</v>
      </c>
      <c r="W99" s="5">
        <v>0.5</v>
      </c>
      <c r="X99" s="5">
        <v>0.5</v>
      </c>
      <c r="Y99" s="5">
        <v>0.5</v>
      </c>
      <c r="Z99" s="5">
        <v>0.5</v>
      </c>
    </row>
    <row r="100" spans="1:26" x14ac:dyDescent="0.3">
      <c r="A100" s="5">
        <v>93</v>
      </c>
      <c r="B100" s="5">
        <v>6.8040000000000003E-2</v>
      </c>
      <c r="C100" s="5">
        <v>0.15087999999999999</v>
      </c>
      <c r="D100" s="5">
        <v>0.21845000000000001</v>
      </c>
      <c r="E100" s="5">
        <v>0.23554</v>
      </c>
      <c r="F100" s="5">
        <v>0.25391999999999998</v>
      </c>
      <c r="G100" s="5">
        <v>0.27363999999999999</v>
      </c>
      <c r="H100" s="5">
        <v>0.29431000000000002</v>
      </c>
      <c r="I100" s="5">
        <v>0.31552000000000002</v>
      </c>
      <c r="J100" s="5">
        <v>0.33699000000000001</v>
      </c>
      <c r="K100" s="5">
        <v>0.35854000000000003</v>
      </c>
      <c r="L100" s="5">
        <v>0.37980999999999998</v>
      </c>
      <c r="M100" s="5">
        <v>0.40044000000000002</v>
      </c>
      <c r="N100" s="5">
        <v>0.42009000000000002</v>
      </c>
      <c r="O100" s="5">
        <v>0.43840000000000001</v>
      </c>
      <c r="P100" s="5">
        <v>0.45501000000000003</v>
      </c>
      <c r="Q100" s="5">
        <v>0.46955999999999998</v>
      </c>
      <c r="R100" s="5">
        <v>0.48170000000000002</v>
      </c>
      <c r="S100" s="5">
        <v>0.49107000000000001</v>
      </c>
      <c r="T100" s="5">
        <v>0.49730999999999997</v>
      </c>
      <c r="U100" s="5">
        <v>0.5</v>
      </c>
      <c r="V100" s="5">
        <v>0.5</v>
      </c>
      <c r="W100" s="5">
        <v>0.5</v>
      </c>
      <c r="X100" s="5">
        <v>0.5</v>
      </c>
      <c r="Y100" s="5">
        <v>0.5</v>
      </c>
      <c r="Z100" s="5">
        <v>0.5</v>
      </c>
    </row>
    <row r="101" spans="1:26" x14ac:dyDescent="0.3">
      <c r="A101" s="5">
        <v>94</v>
      </c>
      <c r="B101" s="5">
        <v>9.8169999999999993E-2</v>
      </c>
      <c r="C101" s="5">
        <v>0.19289000000000001</v>
      </c>
      <c r="D101" s="5">
        <v>0.23554</v>
      </c>
      <c r="E101" s="5">
        <v>0.25391999999999998</v>
      </c>
      <c r="F101" s="5">
        <v>0.27363999999999999</v>
      </c>
      <c r="G101" s="5">
        <v>0.29431000000000002</v>
      </c>
      <c r="H101" s="5">
        <v>0.31552000000000002</v>
      </c>
      <c r="I101" s="5">
        <v>0.33699000000000001</v>
      </c>
      <c r="J101" s="5">
        <v>0.35854000000000003</v>
      </c>
      <c r="K101" s="5">
        <v>0.37980999999999998</v>
      </c>
      <c r="L101" s="5">
        <v>0.40044000000000002</v>
      </c>
      <c r="M101" s="5">
        <v>0.42009000000000002</v>
      </c>
      <c r="N101" s="5">
        <v>0.43840000000000001</v>
      </c>
      <c r="O101" s="5">
        <v>0.45501000000000003</v>
      </c>
      <c r="P101" s="5">
        <v>0.46955999999999998</v>
      </c>
      <c r="Q101" s="5">
        <v>0.48170000000000002</v>
      </c>
      <c r="R101" s="5">
        <v>0.49107000000000001</v>
      </c>
      <c r="S101" s="5">
        <v>0.49730999999999997</v>
      </c>
      <c r="T101" s="5">
        <v>0.5</v>
      </c>
      <c r="U101" s="5">
        <v>0.5</v>
      </c>
      <c r="V101" s="5">
        <v>0.5</v>
      </c>
      <c r="W101" s="5">
        <v>0.5</v>
      </c>
      <c r="X101" s="5">
        <v>0.5</v>
      </c>
      <c r="Y101" s="5">
        <v>0.5</v>
      </c>
      <c r="Z101" s="5">
        <v>0.5</v>
      </c>
    </row>
    <row r="102" spans="1:26" x14ac:dyDescent="0.3">
      <c r="A102" s="5">
        <v>95</v>
      </c>
      <c r="B102" s="5">
        <v>0.13703000000000001</v>
      </c>
      <c r="C102" s="5">
        <v>0.23554</v>
      </c>
      <c r="D102" s="5">
        <v>0.25391999999999998</v>
      </c>
      <c r="E102" s="5">
        <v>0.27363999999999999</v>
      </c>
      <c r="F102" s="5">
        <v>0.29431000000000002</v>
      </c>
      <c r="G102" s="5">
        <v>0.31552000000000002</v>
      </c>
      <c r="H102" s="5">
        <v>0.33699000000000001</v>
      </c>
      <c r="I102" s="5">
        <v>0.35854000000000003</v>
      </c>
      <c r="J102" s="5">
        <v>0.37980999999999998</v>
      </c>
      <c r="K102" s="5">
        <v>0.40044000000000002</v>
      </c>
      <c r="L102" s="5">
        <v>0.42009000000000002</v>
      </c>
      <c r="M102" s="5">
        <v>0.43840000000000001</v>
      </c>
      <c r="N102" s="5">
        <v>0.45501000000000003</v>
      </c>
      <c r="O102" s="5">
        <v>0.46955999999999998</v>
      </c>
      <c r="P102" s="5">
        <v>0.48170000000000002</v>
      </c>
      <c r="Q102" s="5">
        <v>0.49107000000000001</v>
      </c>
      <c r="R102" s="5">
        <v>0.49730999999999997</v>
      </c>
      <c r="S102" s="5">
        <v>0.5</v>
      </c>
      <c r="T102" s="5">
        <v>0.5</v>
      </c>
      <c r="U102" s="5">
        <v>0.5</v>
      </c>
      <c r="V102" s="5">
        <v>0.5</v>
      </c>
      <c r="W102" s="5">
        <v>0.5</v>
      </c>
      <c r="X102" s="5">
        <v>0.5</v>
      </c>
      <c r="Y102" s="5">
        <v>0.5</v>
      </c>
      <c r="Z102" s="5">
        <v>0.5</v>
      </c>
    </row>
    <row r="104" spans="1:26" x14ac:dyDescent="0.3">
      <c r="A104" s="5" t="s">
        <v>32</v>
      </c>
      <c r="B104" s="5" t="s">
        <v>52</v>
      </c>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x14ac:dyDescent="0.3">
      <c r="A105" s="5" t="s">
        <v>24</v>
      </c>
      <c r="B105" s="5" t="s">
        <v>433</v>
      </c>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x14ac:dyDescent="0.3">
      <c r="A106" s="5" t="s">
        <v>34</v>
      </c>
      <c r="B106" s="5" t="s">
        <v>35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x14ac:dyDescent="0.3">
      <c r="A107" s="5" t="s">
        <v>36</v>
      </c>
      <c r="B107" s="5" t="s">
        <v>37</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x14ac:dyDescent="0.3">
      <c r="A108" s="5" t="s">
        <v>38</v>
      </c>
      <c r="B108" s="5" t="s">
        <v>39</v>
      </c>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x14ac:dyDescent="0.3">
      <c r="A109" s="5" t="s">
        <v>40</v>
      </c>
      <c r="B109" s="5" t="s">
        <v>4</v>
      </c>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x14ac:dyDescent="0.3">
      <c r="A110" s="5" t="s">
        <v>42</v>
      </c>
      <c r="B110" s="5" t="s">
        <v>4</v>
      </c>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x14ac:dyDescent="0.3">
      <c r="A111" s="5" t="s">
        <v>44</v>
      </c>
      <c r="B111" s="5" t="s">
        <v>4</v>
      </c>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x14ac:dyDescent="0.3">
      <c r="A112" s="5" t="s">
        <v>45</v>
      </c>
      <c r="B112" s="5" t="s">
        <v>46</v>
      </c>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 x14ac:dyDescent="0.3">
      <c r="A113" s="5" t="s">
        <v>47</v>
      </c>
      <c r="B113" s="5" t="s">
        <v>270</v>
      </c>
    </row>
    <row r="114" spans="1:2" x14ac:dyDescent="0.3">
      <c r="A114" s="5" t="s">
        <v>50</v>
      </c>
      <c r="B114" s="5" t="s">
        <v>33</v>
      </c>
    </row>
    <row r="116" spans="1:2" x14ac:dyDescent="0.3">
      <c r="A116" s="5" t="s">
        <v>51</v>
      </c>
      <c r="B116" s="5" t="s">
        <v>33</v>
      </c>
    </row>
    <row r="117" spans="1:2" x14ac:dyDescent="0.3">
      <c r="A117" s="5" t="s">
        <v>46</v>
      </c>
      <c r="B117" s="5" t="s">
        <v>81</v>
      </c>
    </row>
    <row r="118" spans="1:2" x14ac:dyDescent="0.3">
      <c r="A118" s="5" t="s">
        <v>53</v>
      </c>
      <c r="B118" s="5" t="s">
        <v>82</v>
      </c>
    </row>
    <row r="119" spans="1:2" x14ac:dyDescent="0.3">
      <c r="A119" s="5" t="s">
        <v>54</v>
      </c>
      <c r="B119" s="5" t="s">
        <v>83</v>
      </c>
    </row>
    <row r="120" spans="1:2" x14ac:dyDescent="0.3">
      <c r="A120" s="5" t="s">
        <v>55</v>
      </c>
      <c r="B120" s="5" t="s">
        <v>83</v>
      </c>
    </row>
    <row r="121" spans="1:2" x14ac:dyDescent="0.3">
      <c r="A121" s="5" t="s">
        <v>56</v>
      </c>
      <c r="B121" s="5" t="s">
        <v>82</v>
      </c>
    </row>
    <row r="122" spans="1:2" x14ac:dyDescent="0.3">
      <c r="A122" s="5" t="s">
        <v>57</v>
      </c>
      <c r="B122" s="5" t="s">
        <v>82</v>
      </c>
    </row>
    <row r="123" spans="1:2" x14ac:dyDescent="0.3">
      <c r="A123" s="5" t="s">
        <v>58</v>
      </c>
      <c r="B123" s="5" t="s">
        <v>89</v>
      </c>
    </row>
    <row r="124" spans="1:2" x14ac:dyDescent="0.3">
      <c r="A124" s="5" t="s">
        <v>49</v>
      </c>
      <c r="B124" s="5" t="s">
        <v>81</v>
      </c>
    </row>
    <row r="125" spans="1:2" x14ac:dyDescent="0.3">
      <c r="A125" s="5" t="s">
        <v>113</v>
      </c>
      <c r="B125" s="5" t="s">
        <v>105</v>
      </c>
    </row>
    <row r="126" spans="1:2" x14ac:dyDescent="0.3">
      <c r="A126" s="5" t="s">
        <v>117</v>
      </c>
      <c r="B126" s="5" t="s">
        <v>96</v>
      </c>
    </row>
    <row r="127" spans="1:2" x14ac:dyDescent="0.3">
      <c r="A127" s="5" t="s">
        <v>122</v>
      </c>
      <c r="B127" s="5" t="s">
        <v>110</v>
      </c>
    </row>
    <row r="128" spans="1:2" x14ac:dyDescent="0.3">
      <c r="A128" s="5" t="s">
        <v>127</v>
      </c>
      <c r="B128" s="5" t="s">
        <v>104</v>
      </c>
    </row>
    <row r="129" spans="1:2" x14ac:dyDescent="0.3">
      <c r="A129" s="5" t="s">
        <v>131</v>
      </c>
      <c r="B129" s="5" t="s">
        <v>114</v>
      </c>
    </row>
    <row r="130" spans="1:2" x14ac:dyDescent="0.3">
      <c r="A130" s="5" t="s">
        <v>133</v>
      </c>
      <c r="B130" s="5" t="s">
        <v>101</v>
      </c>
    </row>
    <row r="131" spans="1:2" x14ac:dyDescent="0.3">
      <c r="A131" s="5" t="s">
        <v>135</v>
      </c>
      <c r="B131" s="5" t="s">
        <v>96</v>
      </c>
    </row>
    <row r="132" spans="1:2" x14ac:dyDescent="0.3">
      <c r="A132" s="5" t="s">
        <v>139</v>
      </c>
      <c r="B132" s="5" t="s">
        <v>87</v>
      </c>
    </row>
    <row r="133" spans="1:2" x14ac:dyDescent="0.3">
      <c r="A133" s="5" t="s">
        <v>142</v>
      </c>
      <c r="B133" s="5" t="s">
        <v>81</v>
      </c>
    </row>
    <row r="134" spans="1:2" x14ac:dyDescent="0.3">
      <c r="A134" s="5" t="s">
        <v>146</v>
      </c>
      <c r="B134" s="5" t="s">
        <v>90</v>
      </c>
    </row>
    <row r="135" spans="1:2" x14ac:dyDescent="0.3">
      <c r="A135" s="5" t="s">
        <v>148</v>
      </c>
      <c r="B135" s="5" t="s">
        <v>147</v>
      </c>
    </row>
    <row r="136" spans="1:2" x14ac:dyDescent="0.3">
      <c r="A136" s="5" t="s">
        <v>151</v>
      </c>
      <c r="B136" s="5" t="s">
        <v>128</v>
      </c>
    </row>
    <row r="137" spans="1:2" x14ac:dyDescent="0.3">
      <c r="A137" s="5" t="s">
        <v>156</v>
      </c>
      <c r="B137" s="5" t="s">
        <v>86</v>
      </c>
    </row>
    <row r="138" spans="1:2" x14ac:dyDescent="0.3">
      <c r="A138" s="5" t="s">
        <v>160</v>
      </c>
      <c r="B138" s="5" t="s">
        <v>92</v>
      </c>
    </row>
    <row r="139" spans="1:2" x14ac:dyDescent="0.3">
      <c r="A139" s="5" t="s">
        <v>163</v>
      </c>
      <c r="B139" s="5" t="s">
        <v>143</v>
      </c>
    </row>
    <row r="140" spans="1:2" x14ac:dyDescent="0.3">
      <c r="A140" s="5" t="s">
        <v>164</v>
      </c>
      <c r="B140" s="5" t="s">
        <v>98</v>
      </c>
    </row>
    <row r="141" spans="1:2" x14ac:dyDescent="0.3">
      <c r="A141" s="5" t="s">
        <v>165</v>
      </c>
      <c r="B141" s="5" t="s">
        <v>84</v>
      </c>
    </row>
    <row r="142" spans="1:2" x14ac:dyDescent="0.3">
      <c r="A142" s="5" t="s">
        <v>168</v>
      </c>
      <c r="B142" s="5" t="s">
        <v>119</v>
      </c>
    </row>
    <row r="143" spans="1:2" x14ac:dyDescent="0.3">
      <c r="A143" s="5" t="s">
        <v>169</v>
      </c>
      <c r="B143" s="5" t="s">
        <v>94</v>
      </c>
    </row>
    <row r="144" spans="1:2" x14ac:dyDescent="0.3">
      <c r="A144" s="5" t="s">
        <v>172</v>
      </c>
      <c r="B144" s="5" t="s">
        <v>332</v>
      </c>
    </row>
    <row r="145" spans="1:2" x14ac:dyDescent="0.3">
      <c r="A145" s="5" t="s">
        <v>174</v>
      </c>
      <c r="B145" s="5" t="s">
        <v>149</v>
      </c>
    </row>
    <row r="146" spans="1:2" x14ac:dyDescent="0.3">
      <c r="A146" s="5" t="s">
        <v>176</v>
      </c>
      <c r="B146" s="5" t="s">
        <v>330</v>
      </c>
    </row>
    <row r="147" spans="1:2" x14ac:dyDescent="0.3">
      <c r="A147" s="5" t="s">
        <v>178</v>
      </c>
      <c r="B147" s="5" t="s">
        <v>77</v>
      </c>
    </row>
    <row r="148" spans="1:2" x14ac:dyDescent="0.3">
      <c r="A148" s="5" t="s">
        <v>179</v>
      </c>
      <c r="B148" s="5" t="s">
        <v>107</v>
      </c>
    </row>
    <row r="149" spans="1:2" x14ac:dyDescent="0.3">
      <c r="A149" s="5" t="s">
        <v>180</v>
      </c>
      <c r="B149" s="5" t="s">
        <v>340</v>
      </c>
    </row>
    <row r="150" spans="1:2" x14ac:dyDescent="0.3">
      <c r="A150" s="5" t="s">
        <v>181</v>
      </c>
      <c r="B150" s="5" t="s">
        <v>152</v>
      </c>
    </row>
    <row r="151" spans="1:2" x14ac:dyDescent="0.3">
      <c r="A151" s="5" t="s">
        <v>182</v>
      </c>
      <c r="B151" s="5" t="s">
        <v>353</v>
      </c>
    </row>
    <row r="152" spans="1:2" x14ac:dyDescent="0.3">
      <c r="A152" s="5" t="s">
        <v>184</v>
      </c>
      <c r="B152" s="5" t="s">
        <v>99</v>
      </c>
    </row>
    <row r="153" spans="1:2" x14ac:dyDescent="0.3">
      <c r="A153" s="5" t="s">
        <v>185</v>
      </c>
      <c r="B153" s="5" t="s">
        <v>338</v>
      </c>
    </row>
    <row r="154" spans="1:2" x14ac:dyDescent="0.3">
      <c r="A154" s="5" t="s">
        <v>186</v>
      </c>
      <c r="B154" s="5" t="s">
        <v>138</v>
      </c>
    </row>
    <row r="155" spans="1:2" x14ac:dyDescent="0.3">
      <c r="A155" s="5" t="s">
        <v>189</v>
      </c>
      <c r="B155" s="5" t="s">
        <v>364</v>
      </c>
    </row>
    <row r="156" spans="1:2" x14ac:dyDescent="0.3">
      <c r="A156" s="5" t="s">
        <v>192</v>
      </c>
      <c r="B156" s="5" t="s">
        <v>171</v>
      </c>
    </row>
    <row r="157" spans="1:2" x14ac:dyDescent="0.3">
      <c r="A157" s="5" t="s">
        <v>194</v>
      </c>
      <c r="B157" s="5" t="s">
        <v>434</v>
      </c>
    </row>
    <row r="158" spans="1:2" x14ac:dyDescent="0.3">
      <c r="A158" s="5" t="s">
        <v>197</v>
      </c>
      <c r="B158" s="5" t="s">
        <v>435</v>
      </c>
    </row>
    <row r="159" spans="1:2" x14ac:dyDescent="0.3">
      <c r="A159" s="5" t="s">
        <v>200</v>
      </c>
      <c r="B159" s="5" t="s">
        <v>409</v>
      </c>
    </row>
    <row r="160" spans="1:2" x14ac:dyDescent="0.3">
      <c r="A160" s="5" t="s">
        <v>203</v>
      </c>
      <c r="B160" s="5" t="s">
        <v>410</v>
      </c>
    </row>
    <row r="161" spans="1:2" x14ac:dyDescent="0.3">
      <c r="A161" s="5" t="s">
        <v>205</v>
      </c>
      <c r="B161" s="5" t="s">
        <v>134</v>
      </c>
    </row>
    <row r="162" spans="1:2" x14ac:dyDescent="0.3">
      <c r="A162" s="5" t="s">
        <v>207</v>
      </c>
      <c r="B162" s="5" t="s">
        <v>436</v>
      </c>
    </row>
    <row r="163" spans="1:2" x14ac:dyDescent="0.3">
      <c r="A163" s="5" t="s">
        <v>209</v>
      </c>
      <c r="B163" s="5" t="s">
        <v>437</v>
      </c>
    </row>
    <row r="164" spans="1:2" x14ac:dyDescent="0.3">
      <c r="A164" s="5" t="s">
        <v>211</v>
      </c>
      <c r="B164" s="5" t="s">
        <v>411</v>
      </c>
    </row>
    <row r="165" spans="1:2" x14ac:dyDescent="0.3">
      <c r="A165" s="5" t="s">
        <v>213</v>
      </c>
      <c r="B165" s="5" t="s">
        <v>438</v>
      </c>
    </row>
    <row r="166" spans="1:2" x14ac:dyDescent="0.3">
      <c r="A166" s="5" t="s">
        <v>216</v>
      </c>
      <c r="B166" s="5" t="s">
        <v>439</v>
      </c>
    </row>
    <row r="167" spans="1:2" x14ac:dyDescent="0.3">
      <c r="A167" s="5" t="s">
        <v>219</v>
      </c>
      <c r="B167" s="5" t="s">
        <v>214</v>
      </c>
    </row>
    <row r="168" spans="1:2" x14ac:dyDescent="0.3">
      <c r="A168" s="5" t="s">
        <v>222</v>
      </c>
      <c r="B168" s="5" t="s">
        <v>440</v>
      </c>
    </row>
    <row r="169" spans="1:2" x14ac:dyDescent="0.3">
      <c r="A169" s="5" t="s">
        <v>224</v>
      </c>
      <c r="B169" s="5" t="s">
        <v>365</v>
      </c>
    </row>
    <row r="170" spans="1:2" x14ac:dyDescent="0.3">
      <c r="A170" s="5" t="s">
        <v>227</v>
      </c>
      <c r="B170" s="5" t="s">
        <v>361</v>
      </c>
    </row>
    <row r="171" spans="1:2" x14ac:dyDescent="0.3">
      <c r="A171" s="5" t="s">
        <v>229</v>
      </c>
      <c r="B171" s="5" t="s">
        <v>356</v>
      </c>
    </row>
    <row r="172" spans="1:2" x14ac:dyDescent="0.3">
      <c r="A172" s="5" t="s">
        <v>231</v>
      </c>
      <c r="B172" s="5" t="s">
        <v>441</v>
      </c>
    </row>
    <row r="173" spans="1:2" x14ac:dyDescent="0.3">
      <c r="A173" s="5" t="s">
        <v>233</v>
      </c>
      <c r="B173" s="5" t="s">
        <v>167</v>
      </c>
    </row>
    <row r="174" spans="1:2" x14ac:dyDescent="0.3">
      <c r="A174" s="5" t="s">
        <v>235</v>
      </c>
      <c r="B174" s="5" t="s">
        <v>442</v>
      </c>
    </row>
    <row r="175" spans="1:2" x14ac:dyDescent="0.3">
      <c r="A175" s="5" t="s">
        <v>237</v>
      </c>
      <c r="B175" s="5" t="s">
        <v>443</v>
      </c>
    </row>
    <row r="176" spans="1:2" x14ac:dyDescent="0.3">
      <c r="A176" s="5" t="s">
        <v>239</v>
      </c>
      <c r="B176" s="5" t="s">
        <v>187</v>
      </c>
    </row>
    <row r="177" spans="1:2" x14ac:dyDescent="0.3">
      <c r="A177" s="5" t="s">
        <v>241</v>
      </c>
      <c r="B177" s="5" t="s">
        <v>444</v>
      </c>
    </row>
    <row r="178" spans="1:2" x14ac:dyDescent="0.3">
      <c r="A178" s="5" t="s">
        <v>243</v>
      </c>
      <c r="B178" s="5" t="s">
        <v>412</v>
      </c>
    </row>
    <row r="179" spans="1:2" x14ac:dyDescent="0.3">
      <c r="A179" s="5" t="s">
        <v>245</v>
      </c>
      <c r="B179" s="5" t="s">
        <v>413</v>
      </c>
    </row>
    <row r="180" spans="1:2" x14ac:dyDescent="0.3">
      <c r="A180" s="5" t="s">
        <v>247</v>
      </c>
      <c r="B180" s="5" t="s">
        <v>414</v>
      </c>
    </row>
    <row r="181" spans="1:2" x14ac:dyDescent="0.3">
      <c r="A181" s="5" t="s">
        <v>249</v>
      </c>
      <c r="B181" s="5" t="s">
        <v>415</v>
      </c>
    </row>
    <row r="182" spans="1:2" x14ac:dyDescent="0.3">
      <c r="A182" s="5" t="s">
        <v>251</v>
      </c>
      <c r="B182" s="5" t="s">
        <v>416</v>
      </c>
    </row>
    <row r="183" spans="1:2" x14ac:dyDescent="0.3">
      <c r="A183" s="5" t="s">
        <v>253</v>
      </c>
      <c r="B183" s="5" t="s">
        <v>381</v>
      </c>
    </row>
    <row r="184" spans="1:2" x14ac:dyDescent="0.3">
      <c r="A184" s="5" t="s">
        <v>255</v>
      </c>
      <c r="B184" s="5" t="s">
        <v>417</v>
      </c>
    </row>
    <row r="185" spans="1:2" x14ac:dyDescent="0.3">
      <c r="A185" s="5" t="s">
        <v>257</v>
      </c>
      <c r="B185" s="5" t="s">
        <v>418</v>
      </c>
    </row>
    <row r="186" spans="1:2" x14ac:dyDescent="0.3">
      <c r="A186" s="5" t="s">
        <v>259</v>
      </c>
      <c r="B186" s="5" t="s">
        <v>419</v>
      </c>
    </row>
    <row r="187" spans="1:2" x14ac:dyDescent="0.3">
      <c r="A187" s="5" t="s">
        <v>261</v>
      </c>
      <c r="B187" s="5" t="s">
        <v>420</v>
      </c>
    </row>
    <row r="188" spans="1:2" x14ac:dyDescent="0.3">
      <c r="A188" s="5" t="s">
        <v>263</v>
      </c>
      <c r="B188" s="5" t="s">
        <v>421</v>
      </c>
    </row>
    <row r="189" spans="1:2" x14ac:dyDescent="0.3">
      <c r="A189" s="5" t="s">
        <v>264</v>
      </c>
      <c r="B189" s="5" t="s">
        <v>423</v>
      </c>
    </row>
    <row r="190" spans="1:2" x14ac:dyDescent="0.3">
      <c r="A190" s="5" t="s">
        <v>265</v>
      </c>
      <c r="B190" s="5" t="s">
        <v>424</v>
      </c>
    </row>
    <row r="191" spans="1:2" x14ac:dyDescent="0.3">
      <c r="A191" s="5" t="s">
        <v>266</v>
      </c>
      <c r="B191" s="5" t="s">
        <v>425</v>
      </c>
    </row>
    <row r="192" spans="1:2" x14ac:dyDescent="0.3">
      <c r="A192" s="5" t="s">
        <v>267</v>
      </c>
      <c r="B192" s="5" t="s">
        <v>426</v>
      </c>
    </row>
    <row r="193" spans="1:2" x14ac:dyDescent="0.3">
      <c r="A193" s="5" t="s">
        <v>268</v>
      </c>
      <c r="B193" s="5" t="s">
        <v>427</v>
      </c>
    </row>
    <row r="194" spans="1:2" x14ac:dyDescent="0.3">
      <c r="A194" s="5" t="s">
        <v>48</v>
      </c>
      <c r="B194" s="5" t="s">
        <v>428</v>
      </c>
    </row>
    <row r="195" spans="1:2" x14ac:dyDescent="0.3">
      <c r="A195" s="5" t="s">
        <v>295</v>
      </c>
      <c r="B195" s="5" t="s">
        <v>429</v>
      </c>
    </row>
    <row r="196" spans="1:2" x14ac:dyDescent="0.3">
      <c r="A196" s="5" t="s">
        <v>296</v>
      </c>
      <c r="B196" s="5" t="s">
        <v>430</v>
      </c>
    </row>
    <row r="197" spans="1:2" x14ac:dyDescent="0.3">
      <c r="A197" s="5" t="s">
        <v>297</v>
      </c>
      <c r="B197" s="5" t="s">
        <v>431</v>
      </c>
    </row>
    <row r="198" spans="1:2" x14ac:dyDescent="0.3">
      <c r="A198" s="5" t="s">
        <v>298</v>
      </c>
      <c r="B198" s="5" t="s">
        <v>432</v>
      </c>
    </row>
    <row r="199" spans="1:2" x14ac:dyDescent="0.3">
      <c r="A199" s="5" t="s">
        <v>299</v>
      </c>
      <c r="B199" s="5" t="s">
        <v>238</v>
      </c>
    </row>
    <row r="200" spans="1:2" x14ac:dyDescent="0.3">
      <c r="A200" s="5" t="s">
        <v>300</v>
      </c>
      <c r="B200" s="5" t="s">
        <v>240</v>
      </c>
    </row>
    <row r="201" spans="1:2" x14ac:dyDescent="0.3">
      <c r="A201" s="5" t="s">
        <v>301</v>
      </c>
      <c r="B201" s="5" t="s">
        <v>242</v>
      </c>
    </row>
    <row r="202" spans="1:2" x14ac:dyDescent="0.3">
      <c r="A202" s="5" t="s">
        <v>302</v>
      </c>
      <c r="B202" s="5" t="s">
        <v>244</v>
      </c>
    </row>
    <row r="203" spans="1:2" x14ac:dyDescent="0.3">
      <c r="A203" s="5" t="s">
        <v>303</v>
      </c>
      <c r="B203" s="5" t="s">
        <v>246</v>
      </c>
    </row>
    <row r="204" spans="1:2" x14ac:dyDescent="0.3">
      <c r="A204" s="5" t="s">
        <v>304</v>
      </c>
      <c r="B204" s="5" t="s">
        <v>248</v>
      </c>
    </row>
    <row r="205" spans="1:2" x14ac:dyDescent="0.3">
      <c r="A205" s="5" t="s">
        <v>305</v>
      </c>
      <c r="B205" s="5" t="s">
        <v>250</v>
      </c>
    </row>
    <row r="206" spans="1:2" x14ac:dyDescent="0.3">
      <c r="A206" s="5" t="s">
        <v>306</v>
      </c>
      <c r="B206" s="5" t="s">
        <v>252</v>
      </c>
    </row>
    <row r="207" spans="1:2" x14ac:dyDescent="0.3">
      <c r="A207" s="5" t="s">
        <v>307</v>
      </c>
      <c r="B207" s="5" t="s">
        <v>254</v>
      </c>
    </row>
    <row r="208" spans="1:2" x14ac:dyDescent="0.3">
      <c r="A208" s="5" t="s">
        <v>308</v>
      </c>
      <c r="B208" s="5" t="s">
        <v>256</v>
      </c>
    </row>
    <row r="209" spans="1:2" x14ac:dyDescent="0.3">
      <c r="A209" s="5" t="s">
        <v>309</v>
      </c>
      <c r="B209" s="5" t="s">
        <v>258</v>
      </c>
    </row>
    <row r="210" spans="1:2" x14ac:dyDescent="0.3">
      <c r="A210" s="5" t="s">
        <v>310</v>
      </c>
      <c r="B210" s="5" t="s">
        <v>260</v>
      </c>
    </row>
    <row r="211" spans="1:2" x14ac:dyDescent="0.3">
      <c r="A211" s="5" t="s">
        <v>311</v>
      </c>
      <c r="B211" s="5" t="s">
        <v>262</v>
      </c>
    </row>
    <row r="212" spans="1:2" x14ac:dyDescent="0.3">
      <c r="A212" s="5" t="s">
        <v>312</v>
      </c>
      <c r="B212" s="5" t="s">
        <v>262</v>
      </c>
    </row>
    <row r="213" spans="1:2" x14ac:dyDescent="0.3">
      <c r="A213" s="5" t="s">
        <v>313</v>
      </c>
      <c r="B213" s="5" t="s">
        <v>262</v>
      </c>
    </row>
    <row r="214" spans="1:2" x14ac:dyDescent="0.3">
      <c r="A214" s="5" t="s">
        <v>314</v>
      </c>
      <c r="B214" s="5" t="s">
        <v>262</v>
      </c>
    </row>
    <row r="215" spans="1:2" x14ac:dyDescent="0.3">
      <c r="A215" s="5" t="s">
        <v>315</v>
      </c>
      <c r="B215" s="5" t="s">
        <v>262</v>
      </c>
    </row>
    <row r="216" spans="1:2" x14ac:dyDescent="0.3">
      <c r="A216" s="5" t="s">
        <v>316</v>
      </c>
      <c r="B216" s="5" t="s">
        <v>262</v>
      </c>
    </row>
    <row r="217" spans="1:2" x14ac:dyDescent="0.3">
      <c r="A217" s="5" t="s">
        <v>317</v>
      </c>
      <c r="B217" s="5" t="s">
        <v>262</v>
      </c>
    </row>
    <row r="218" spans="1:2" x14ac:dyDescent="0.3">
      <c r="A218" s="5" t="s">
        <v>318</v>
      </c>
      <c r="B218" s="5" t="s">
        <v>262</v>
      </c>
    </row>
    <row r="219" spans="1:2" x14ac:dyDescent="0.3">
      <c r="A219" s="5" t="s">
        <v>270</v>
      </c>
      <c r="B219" s="5" t="s">
        <v>262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D86F-11C8-4289-BE35-204BF90DA68A}">
  <sheetPr codeName="Sheet8"/>
  <dimension ref="A1:Z219"/>
  <sheetViews>
    <sheetView topLeftCell="A6" workbookViewId="0">
      <selection activeCell="I19" sqref="I19"/>
    </sheetView>
  </sheetViews>
  <sheetFormatPr defaultColWidth="9.109375" defaultRowHeight="14.4" x14ac:dyDescent="0.3"/>
  <cols>
    <col min="1" max="16384" width="9.109375" style="6"/>
  </cols>
  <sheetData>
    <row r="1" spans="1:2" x14ac:dyDescent="0.3">
      <c r="A1" s="5" t="s">
        <v>12</v>
      </c>
      <c r="B1" s="5" t="s">
        <v>445</v>
      </c>
    </row>
    <row r="2" spans="1:2" x14ac:dyDescent="0.3">
      <c r="A2" s="5" t="s">
        <v>14</v>
      </c>
      <c r="B2" s="5" t="s">
        <v>446</v>
      </c>
    </row>
    <row r="3" spans="1:2" x14ac:dyDescent="0.3">
      <c r="A3" s="5" t="s">
        <v>16</v>
      </c>
      <c r="B3" s="5" t="s">
        <v>17</v>
      </c>
    </row>
    <row r="4" spans="1:2" x14ac:dyDescent="0.3">
      <c r="A4" s="5" t="s">
        <v>18</v>
      </c>
      <c r="B4" s="5" t="s">
        <v>19</v>
      </c>
    </row>
    <row r="5" spans="1:2" x14ac:dyDescent="0.3">
      <c r="A5" s="5" t="s">
        <v>20</v>
      </c>
      <c r="B5" s="5" t="s">
        <v>21</v>
      </c>
    </row>
    <row r="6" spans="1:2" x14ac:dyDescent="0.3">
      <c r="A6" s="5" t="s">
        <v>22</v>
      </c>
      <c r="B6" s="5" t="s">
        <v>23</v>
      </c>
    </row>
    <row r="7" spans="1:2" x14ac:dyDescent="0.3">
      <c r="A7" s="5" t="s">
        <v>24</v>
      </c>
      <c r="B7" s="5" t="s">
        <v>474</v>
      </c>
    </row>
    <row r="8" spans="1:2" x14ac:dyDescent="0.3">
      <c r="A8" s="5" t="s">
        <v>26</v>
      </c>
      <c r="B8" s="5" t="s">
        <v>27</v>
      </c>
    </row>
    <row r="9" spans="1:2" x14ac:dyDescent="0.3">
      <c r="A9" s="5" t="s">
        <v>28</v>
      </c>
      <c r="B9" s="5" t="s">
        <v>29</v>
      </c>
    </row>
    <row r="10" spans="1:2" x14ac:dyDescent="0.3">
      <c r="A10" s="5" t="s">
        <v>30</v>
      </c>
      <c r="B10" s="5" t="s">
        <v>31</v>
      </c>
    </row>
    <row r="12" spans="1:2" x14ac:dyDescent="0.3">
      <c r="A12" s="5" t="s">
        <v>32</v>
      </c>
      <c r="B12" s="5">
        <v>1</v>
      </c>
    </row>
    <row r="13" spans="1:2" x14ac:dyDescent="0.3">
      <c r="A13" s="5" t="s">
        <v>24</v>
      </c>
      <c r="B13" s="5" t="s">
        <v>447</v>
      </c>
    </row>
    <row r="14" spans="1:2" x14ac:dyDescent="0.3">
      <c r="A14" s="5" t="s">
        <v>34</v>
      </c>
      <c r="B14" s="5" t="s">
        <v>35</v>
      </c>
    </row>
    <row r="15" spans="1:2" x14ac:dyDescent="0.3">
      <c r="A15" s="5" t="s">
        <v>36</v>
      </c>
      <c r="B15" s="5">
        <v>0</v>
      </c>
    </row>
    <row r="16" spans="1:2" x14ac:dyDescent="0.3">
      <c r="A16" s="5" t="s">
        <v>38</v>
      </c>
      <c r="B16" s="5" t="s">
        <v>39</v>
      </c>
    </row>
    <row r="17" spans="1:26" x14ac:dyDescent="0.3">
      <c r="A17" s="5" t="s">
        <v>40</v>
      </c>
      <c r="B17" s="5" t="s">
        <v>4</v>
      </c>
      <c r="C17" s="5" t="s">
        <v>41</v>
      </c>
      <c r="D17" s="5"/>
      <c r="E17" s="5"/>
      <c r="F17" s="5"/>
      <c r="G17" s="5"/>
      <c r="H17" s="5"/>
      <c r="I17" s="5"/>
      <c r="J17" s="5"/>
      <c r="K17" s="5"/>
      <c r="L17" s="5"/>
      <c r="M17" s="5"/>
      <c r="N17" s="5"/>
      <c r="O17" s="5"/>
      <c r="P17" s="5"/>
      <c r="Q17" s="5"/>
      <c r="R17" s="5"/>
      <c r="S17" s="5"/>
      <c r="T17" s="5"/>
      <c r="U17" s="5"/>
      <c r="V17" s="5"/>
      <c r="W17" s="5"/>
      <c r="X17" s="5"/>
      <c r="Y17" s="5"/>
      <c r="Z17" s="5"/>
    </row>
    <row r="18" spans="1:26" x14ac:dyDescent="0.3">
      <c r="A18" s="5" t="s">
        <v>42</v>
      </c>
      <c r="B18" s="5" t="s">
        <v>4</v>
      </c>
      <c r="C18" s="5" t="s">
        <v>43</v>
      </c>
      <c r="D18" s="5"/>
      <c r="E18" s="5"/>
      <c r="F18" s="5"/>
      <c r="G18" s="5"/>
      <c r="H18" s="5"/>
      <c r="I18" s="5"/>
      <c r="J18" s="5"/>
      <c r="K18" s="5"/>
      <c r="L18" s="5"/>
      <c r="M18" s="5"/>
      <c r="N18" s="5"/>
      <c r="O18" s="5"/>
      <c r="P18" s="5"/>
      <c r="Q18" s="5"/>
      <c r="R18" s="5"/>
      <c r="S18" s="5"/>
      <c r="T18" s="5"/>
      <c r="U18" s="5"/>
      <c r="V18" s="5"/>
      <c r="W18" s="5"/>
      <c r="X18" s="5"/>
      <c r="Y18" s="5"/>
      <c r="Z18" s="5"/>
    </row>
    <row r="19" spans="1:26" x14ac:dyDescent="0.3">
      <c r="A19" s="5" t="s">
        <v>44</v>
      </c>
      <c r="B19" s="5" t="s">
        <v>4</v>
      </c>
      <c r="C19" s="5" t="s">
        <v>41</v>
      </c>
      <c r="D19" s="5"/>
      <c r="E19" s="5"/>
      <c r="F19" s="5"/>
      <c r="G19" s="5"/>
      <c r="H19" s="5"/>
      <c r="I19" s="5"/>
      <c r="J19" s="5"/>
      <c r="K19" s="5"/>
      <c r="L19" s="5"/>
      <c r="M19" s="5"/>
      <c r="N19" s="5"/>
      <c r="O19" s="5"/>
      <c r="P19" s="5"/>
      <c r="Q19" s="5"/>
      <c r="R19" s="5"/>
      <c r="S19" s="5"/>
      <c r="T19" s="5"/>
      <c r="U19" s="5"/>
      <c r="V19" s="5"/>
      <c r="W19" s="5"/>
      <c r="X19" s="5"/>
      <c r="Y19" s="5"/>
      <c r="Z19" s="5"/>
    </row>
    <row r="20" spans="1:26" x14ac:dyDescent="0.3">
      <c r="A20" s="5" t="s">
        <v>45</v>
      </c>
      <c r="B20" s="5">
        <v>18</v>
      </c>
      <c r="C20" s="5">
        <v>1</v>
      </c>
      <c r="D20" s="5"/>
      <c r="E20" s="5"/>
      <c r="F20" s="5"/>
      <c r="G20" s="5"/>
      <c r="H20" s="5"/>
      <c r="I20" s="5"/>
      <c r="J20" s="5"/>
      <c r="K20" s="5"/>
      <c r="L20" s="5"/>
      <c r="M20" s="5"/>
      <c r="N20" s="5"/>
      <c r="O20" s="5"/>
      <c r="P20" s="5"/>
      <c r="Q20" s="5"/>
      <c r="R20" s="5"/>
      <c r="S20" s="5"/>
      <c r="T20" s="5"/>
      <c r="U20" s="5"/>
      <c r="V20" s="5"/>
      <c r="W20" s="5"/>
      <c r="X20" s="5"/>
      <c r="Y20" s="5"/>
      <c r="Z20" s="5"/>
    </row>
    <row r="21" spans="1:26" x14ac:dyDescent="0.3">
      <c r="A21" s="5" t="s">
        <v>47</v>
      </c>
      <c r="B21" s="5">
        <v>95</v>
      </c>
      <c r="C21" s="5">
        <v>25</v>
      </c>
      <c r="D21" s="5"/>
      <c r="E21" s="5"/>
      <c r="F21" s="5"/>
      <c r="G21" s="5"/>
      <c r="H21" s="5"/>
      <c r="I21" s="5"/>
      <c r="J21" s="5"/>
      <c r="K21" s="5"/>
      <c r="L21" s="5"/>
      <c r="M21" s="5"/>
      <c r="N21" s="5"/>
      <c r="O21" s="5"/>
      <c r="P21" s="5"/>
      <c r="Q21" s="5"/>
      <c r="R21" s="5"/>
      <c r="S21" s="5"/>
      <c r="T21" s="5"/>
      <c r="U21" s="5"/>
      <c r="V21" s="5"/>
      <c r="W21" s="5"/>
      <c r="X21" s="5"/>
      <c r="Y21" s="5"/>
      <c r="Z21" s="5"/>
    </row>
    <row r="22" spans="1:26" x14ac:dyDescent="0.3">
      <c r="A22" s="5" t="s">
        <v>50</v>
      </c>
      <c r="B22" s="5">
        <v>1</v>
      </c>
      <c r="C22" s="5">
        <v>1</v>
      </c>
      <c r="D22" s="5"/>
      <c r="E22" s="5"/>
      <c r="F22" s="5"/>
      <c r="G22" s="5"/>
      <c r="H22" s="5"/>
      <c r="I22" s="5"/>
      <c r="J22" s="5"/>
      <c r="K22" s="5"/>
      <c r="L22" s="5"/>
      <c r="M22" s="5"/>
      <c r="N22" s="5"/>
      <c r="O22" s="5"/>
      <c r="P22" s="5"/>
      <c r="Q22" s="5"/>
      <c r="R22" s="5"/>
      <c r="S22" s="5"/>
      <c r="T22" s="5"/>
      <c r="U22" s="5"/>
      <c r="V22" s="5"/>
      <c r="W22" s="5"/>
      <c r="X22" s="5"/>
      <c r="Y22" s="5"/>
      <c r="Z22" s="5"/>
    </row>
    <row r="24" spans="1:26" x14ac:dyDescent="0.3">
      <c r="A24" s="5" t="s">
        <v>51</v>
      </c>
      <c r="B24" s="5">
        <v>1</v>
      </c>
      <c r="C24" s="5">
        <v>2</v>
      </c>
      <c r="D24" s="5">
        <v>3</v>
      </c>
      <c r="E24" s="5">
        <v>4</v>
      </c>
      <c r="F24" s="5">
        <v>5</v>
      </c>
      <c r="G24" s="5">
        <v>6</v>
      </c>
      <c r="H24" s="5">
        <v>7</v>
      </c>
      <c r="I24" s="5">
        <v>8</v>
      </c>
      <c r="J24" s="5">
        <v>9</v>
      </c>
      <c r="K24" s="5">
        <v>10</v>
      </c>
      <c r="L24" s="5">
        <v>11</v>
      </c>
      <c r="M24" s="5">
        <v>12</v>
      </c>
      <c r="N24" s="5">
        <v>13</v>
      </c>
      <c r="O24" s="5">
        <v>14</v>
      </c>
      <c r="P24" s="5">
        <v>15</v>
      </c>
      <c r="Q24" s="5">
        <v>16</v>
      </c>
      <c r="R24" s="5">
        <v>17</v>
      </c>
      <c r="S24" s="5">
        <v>18</v>
      </c>
      <c r="T24" s="5">
        <v>19</v>
      </c>
      <c r="U24" s="5">
        <v>20</v>
      </c>
      <c r="V24" s="5">
        <v>21</v>
      </c>
      <c r="W24" s="5">
        <v>22</v>
      </c>
      <c r="X24" s="5">
        <v>23</v>
      </c>
      <c r="Y24" s="5">
        <v>24</v>
      </c>
      <c r="Z24" s="5">
        <v>25</v>
      </c>
    </row>
    <row r="25" spans="1:26" x14ac:dyDescent="0.3">
      <c r="A25" s="5">
        <v>18</v>
      </c>
      <c r="B25" s="5">
        <v>2.7E-4</v>
      </c>
      <c r="C25" s="5">
        <v>2.7E-4</v>
      </c>
      <c r="D25" s="5">
        <v>2.5999999999999998E-4</v>
      </c>
      <c r="E25" s="5">
        <v>2.7E-4</v>
      </c>
      <c r="F25" s="5">
        <v>2.7E-4</v>
      </c>
      <c r="G25" s="5">
        <v>2.7E-4</v>
      </c>
      <c r="H25" s="5">
        <v>2.5999999999999998E-4</v>
      </c>
      <c r="I25" s="5">
        <v>2.5999999999999998E-4</v>
      </c>
      <c r="J25" s="5">
        <v>2.7E-4</v>
      </c>
      <c r="K25" s="5">
        <v>2.7999999999999998E-4</v>
      </c>
      <c r="L25" s="5">
        <v>2.9999999999999997E-4</v>
      </c>
      <c r="M25" s="5">
        <v>3.2000000000000003E-4</v>
      </c>
      <c r="N25" s="5">
        <v>3.4000000000000002E-4</v>
      </c>
      <c r="O25" s="5">
        <v>3.6000000000000002E-4</v>
      </c>
      <c r="P25" s="5">
        <v>4.0000000000000002E-4</v>
      </c>
      <c r="Q25" s="5">
        <v>4.6999999999999999E-4</v>
      </c>
      <c r="R25" s="5">
        <v>5.4000000000000001E-4</v>
      </c>
      <c r="S25" s="5">
        <v>6.2E-4</v>
      </c>
      <c r="T25" s="5">
        <v>6.9999999999999999E-4</v>
      </c>
      <c r="U25" s="5">
        <v>7.6999999999999996E-4</v>
      </c>
      <c r="V25" s="5">
        <v>8.3000000000000001E-4</v>
      </c>
      <c r="W25" s="5">
        <v>8.5999999999999998E-4</v>
      </c>
      <c r="X25" s="5">
        <v>8.7000000000000001E-4</v>
      </c>
      <c r="Y25" s="5">
        <v>8.7000000000000001E-4</v>
      </c>
      <c r="Z25" s="5">
        <v>8.8000000000000003E-4</v>
      </c>
    </row>
    <row r="26" spans="1:26" x14ac:dyDescent="0.3">
      <c r="A26" s="5">
        <v>19</v>
      </c>
      <c r="B26" s="5">
        <v>2.5999999999999998E-4</v>
      </c>
      <c r="C26" s="5">
        <v>2.5000000000000001E-4</v>
      </c>
      <c r="D26" s="5">
        <v>2.5000000000000001E-4</v>
      </c>
      <c r="E26" s="5">
        <v>2.5000000000000001E-4</v>
      </c>
      <c r="F26" s="5">
        <v>2.5000000000000001E-4</v>
      </c>
      <c r="G26" s="5">
        <v>2.5000000000000001E-4</v>
      </c>
      <c r="H26" s="5">
        <v>2.4000000000000001E-4</v>
      </c>
      <c r="I26" s="5">
        <v>2.4000000000000001E-4</v>
      </c>
      <c r="J26" s="5">
        <v>2.5999999999999998E-4</v>
      </c>
      <c r="K26" s="5">
        <v>2.7999999999999998E-4</v>
      </c>
      <c r="L26" s="5">
        <v>2.9999999999999997E-4</v>
      </c>
      <c r="M26" s="5">
        <v>3.2000000000000003E-4</v>
      </c>
      <c r="N26" s="5">
        <v>3.3E-4</v>
      </c>
      <c r="O26" s="5">
        <v>3.6000000000000002E-4</v>
      </c>
      <c r="P26" s="5">
        <v>4.0999999999999999E-4</v>
      </c>
      <c r="Q26" s="5">
        <v>4.8000000000000001E-4</v>
      </c>
      <c r="R26" s="5">
        <v>5.6999999999999998E-4</v>
      </c>
      <c r="S26" s="5">
        <v>6.6E-4</v>
      </c>
      <c r="T26" s="5">
        <v>7.5000000000000002E-4</v>
      </c>
      <c r="U26" s="5">
        <v>8.0999999999999996E-4</v>
      </c>
      <c r="V26" s="5">
        <v>8.5999999999999998E-4</v>
      </c>
      <c r="W26" s="5">
        <v>8.7000000000000001E-4</v>
      </c>
      <c r="X26" s="5">
        <v>8.7000000000000001E-4</v>
      </c>
      <c r="Y26" s="5">
        <v>8.8000000000000003E-4</v>
      </c>
      <c r="Z26" s="5">
        <v>8.8000000000000003E-4</v>
      </c>
    </row>
    <row r="27" spans="1:26" x14ac:dyDescent="0.3">
      <c r="A27" s="5">
        <v>20</v>
      </c>
      <c r="B27" s="5">
        <v>2.1000000000000001E-4</v>
      </c>
      <c r="C27" s="5">
        <v>2.2000000000000001E-4</v>
      </c>
      <c r="D27" s="5">
        <v>2.3000000000000001E-4</v>
      </c>
      <c r="E27" s="5">
        <v>2.4000000000000001E-4</v>
      </c>
      <c r="F27" s="5">
        <v>2.3000000000000001E-4</v>
      </c>
      <c r="G27" s="5">
        <v>2.2000000000000001E-4</v>
      </c>
      <c r="H27" s="5">
        <v>2.2000000000000001E-4</v>
      </c>
      <c r="I27" s="5">
        <v>2.3000000000000001E-4</v>
      </c>
      <c r="J27" s="5">
        <v>2.5999999999999998E-4</v>
      </c>
      <c r="K27" s="5">
        <v>2.7999999999999998E-4</v>
      </c>
      <c r="L27" s="5">
        <v>2.9999999999999997E-4</v>
      </c>
      <c r="M27" s="5">
        <v>3.1E-4</v>
      </c>
      <c r="N27" s="5">
        <v>3.3E-4</v>
      </c>
      <c r="O27" s="5">
        <v>3.6000000000000002E-4</v>
      </c>
      <c r="P27" s="5">
        <v>4.2999999999999999E-4</v>
      </c>
      <c r="Q27" s="5">
        <v>5.1000000000000004E-4</v>
      </c>
      <c r="R27" s="5">
        <v>5.9999999999999995E-4</v>
      </c>
      <c r="S27" s="5">
        <v>6.8000000000000005E-4</v>
      </c>
      <c r="T27" s="5">
        <v>7.6000000000000004E-4</v>
      </c>
      <c r="U27" s="5">
        <v>8.3000000000000001E-4</v>
      </c>
      <c r="V27" s="5">
        <v>8.7000000000000001E-4</v>
      </c>
      <c r="W27" s="5">
        <v>8.7000000000000001E-4</v>
      </c>
      <c r="X27" s="5">
        <v>8.8000000000000003E-4</v>
      </c>
      <c r="Y27" s="5">
        <v>8.8000000000000003E-4</v>
      </c>
      <c r="Z27" s="5">
        <v>8.8000000000000003E-4</v>
      </c>
    </row>
    <row r="28" spans="1:26" x14ac:dyDescent="0.3">
      <c r="A28" s="5">
        <v>21</v>
      </c>
      <c r="B28" s="5">
        <v>1.7000000000000001E-4</v>
      </c>
      <c r="C28" s="5">
        <v>2.0000000000000001E-4</v>
      </c>
      <c r="D28" s="5">
        <v>2.2000000000000001E-4</v>
      </c>
      <c r="E28" s="5">
        <v>2.2000000000000001E-4</v>
      </c>
      <c r="F28" s="5">
        <v>2.1000000000000001E-4</v>
      </c>
      <c r="G28" s="5">
        <v>2.0000000000000001E-4</v>
      </c>
      <c r="H28" s="5">
        <v>2.1000000000000001E-4</v>
      </c>
      <c r="I28" s="5">
        <v>2.3000000000000001E-4</v>
      </c>
      <c r="J28" s="5">
        <v>2.5999999999999998E-4</v>
      </c>
      <c r="K28" s="5">
        <v>2.9E-4</v>
      </c>
      <c r="L28" s="5">
        <v>2.9999999999999997E-4</v>
      </c>
      <c r="M28" s="5">
        <v>3.1E-4</v>
      </c>
      <c r="N28" s="5">
        <v>3.3E-4</v>
      </c>
      <c r="O28" s="5">
        <v>3.8000000000000002E-4</v>
      </c>
      <c r="P28" s="5">
        <v>4.4999999999999999E-4</v>
      </c>
      <c r="Q28" s="5">
        <v>5.4000000000000001E-4</v>
      </c>
      <c r="R28" s="5">
        <v>6.2E-4</v>
      </c>
      <c r="S28" s="5">
        <v>6.8999999999999997E-4</v>
      </c>
      <c r="T28" s="5">
        <v>7.6999999999999996E-4</v>
      </c>
      <c r="U28" s="5">
        <v>8.4000000000000003E-4</v>
      </c>
      <c r="V28" s="5">
        <v>8.7000000000000001E-4</v>
      </c>
      <c r="W28" s="5">
        <v>8.8000000000000003E-4</v>
      </c>
      <c r="X28" s="5">
        <v>8.8000000000000003E-4</v>
      </c>
      <c r="Y28" s="5">
        <v>8.8000000000000003E-4</v>
      </c>
      <c r="Z28" s="5">
        <v>8.9999999999999998E-4</v>
      </c>
    </row>
    <row r="29" spans="1:26" x14ac:dyDescent="0.3">
      <c r="A29" s="5">
        <v>22</v>
      </c>
      <c r="B29" s="5">
        <v>1.4999999999999999E-4</v>
      </c>
      <c r="C29" s="5">
        <v>1.9000000000000001E-4</v>
      </c>
      <c r="D29" s="5">
        <v>2.0000000000000001E-4</v>
      </c>
      <c r="E29" s="5">
        <v>1.9000000000000001E-4</v>
      </c>
      <c r="F29" s="5">
        <v>1.8000000000000001E-4</v>
      </c>
      <c r="G29" s="5">
        <v>1.9000000000000001E-4</v>
      </c>
      <c r="H29" s="5">
        <v>2.1000000000000001E-4</v>
      </c>
      <c r="I29" s="5">
        <v>2.4000000000000001E-4</v>
      </c>
      <c r="J29" s="5">
        <v>2.7E-4</v>
      </c>
      <c r="K29" s="5">
        <v>2.9E-4</v>
      </c>
      <c r="L29" s="5">
        <v>2.9999999999999997E-4</v>
      </c>
      <c r="M29" s="5">
        <v>3.2000000000000003E-4</v>
      </c>
      <c r="N29" s="5">
        <v>3.5E-4</v>
      </c>
      <c r="O29" s="5">
        <v>4.0999999999999999E-4</v>
      </c>
      <c r="P29" s="5">
        <v>4.8999999999999998E-4</v>
      </c>
      <c r="Q29" s="5">
        <v>5.5999999999999995E-4</v>
      </c>
      <c r="R29" s="5">
        <v>6.3000000000000003E-4</v>
      </c>
      <c r="S29" s="5">
        <v>6.9999999999999999E-4</v>
      </c>
      <c r="T29" s="5">
        <v>7.7999999999999999E-4</v>
      </c>
      <c r="U29" s="5">
        <v>8.4000000000000003E-4</v>
      </c>
      <c r="V29" s="5">
        <v>8.8000000000000003E-4</v>
      </c>
      <c r="W29" s="5">
        <v>8.8000000000000003E-4</v>
      </c>
      <c r="X29" s="5">
        <v>8.8000000000000003E-4</v>
      </c>
      <c r="Y29" s="5">
        <v>8.9999999999999998E-4</v>
      </c>
      <c r="Z29" s="5">
        <v>9.3999999999999997E-4</v>
      </c>
    </row>
    <row r="30" spans="1:26" x14ac:dyDescent="0.3">
      <c r="A30" s="5">
        <v>23</v>
      </c>
      <c r="B30" s="5">
        <v>1.3999999999999999E-4</v>
      </c>
      <c r="C30" s="5">
        <v>1.8000000000000001E-4</v>
      </c>
      <c r="D30" s="5">
        <v>1.8000000000000001E-4</v>
      </c>
      <c r="E30" s="5">
        <v>1.7000000000000001E-4</v>
      </c>
      <c r="F30" s="5">
        <v>1.7000000000000001E-4</v>
      </c>
      <c r="G30" s="5">
        <v>1.9000000000000001E-4</v>
      </c>
      <c r="H30" s="5">
        <v>2.2000000000000001E-4</v>
      </c>
      <c r="I30" s="5">
        <v>2.5000000000000001E-4</v>
      </c>
      <c r="J30" s="5">
        <v>2.7999999999999998E-4</v>
      </c>
      <c r="K30" s="5">
        <v>2.9999999999999997E-4</v>
      </c>
      <c r="L30" s="5">
        <v>3.1E-4</v>
      </c>
      <c r="M30" s="5">
        <v>3.3E-4</v>
      </c>
      <c r="N30" s="5">
        <v>3.6999999999999999E-4</v>
      </c>
      <c r="O30" s="5">
        <v>4.4000000000000002E-4</v>
      </c>
      <c r="P30" s="5">
        <v>5.1999999999999995E-4</v>
      </c>
      <c r="Q30" s="5">
        <v>5.9000000000000003E-4</v>
      </c>
      <c r="R30" s="5">
        <v>6.4000000000000005E-4</v>
      </c>
      <c r="S30" s="5">
        <v>7.1000000000000002E-4</v>
      </c>
      <c r="T30" s="5">
        <v>7.7999999999999999E-4</v>
      </c>
      <c r="U30" s="5">
        <v>8.4000000000000003E-4</v>
      </c>
      <c r="V30" s="5">
        <v>8.8000000000000003E-4</v>
      </c>
      <c r="W30" s="5">
        <v>8.8000000000000003E-4</v>
      </c>
      <c r="X30" s="5">
        <v>8.9999999999999998E-4</v>
      </c>
      <c r="Y30" s="5">
        <v>9.3999999999999997E-4</v>
      </c>
      <c r="Z30" s="5">
        <v>9.8999999999999999E-4</v>
      </c>
    </row>
    <row r="31" spans="1:26" x14ac:dyDescent="0.3">
      <c r="A31" s="5">
        <v>24</v>
      </c>
      <c r="B31" s="5">
        <v>1.2E-4</v>
      </c>
      <c r="C31" s="5">
        <v>1.4999999999999999E-4</v>
      </c>
      <c r="D31" s="5">
        <v>1.6000000000000001E-4</v>
      </c>
      <c r="E31" s="5">
        <v>1.6000000000000001E-4</v>
      </c>
      <c r="F31" s="5">
        <v>1.7000000000000001E-4</v>
      </c>
      <c r="G31" s="5">
        <v>1.9000000000000001E-4</v>
      </c>
      <c r="H31" s="5">
        <v>2.2000000000000001E-4</v>
      </c>
      <c r="I31" s="5">
        <v>2.5000000000000001E-4</v>
      </c>
      <c r="J31" s="5">
        <v>2.7999999999999998E-4</v>
      </c>
      <c r="K31" s="5">
        <v>2.9999999999999997E-4</v>
      </c>
      <c r="L31" s="5">
        <v>3.3E-4</v>
      </c>
      <c r="M31" s="5">
        <v>3.6000000000000002E-4</v>
      </c>
      <c r="N31" s="5">
        <v>4.0999999999999999E-4</v>
      </c>
      <c r="O31" s="5">
        <v>4.8999999999999998E-4</v>
      </c>
      <c r="P31" s="5">
        <v>5.5999999999999995E-4</v>
      </c>
      <c r="Q31" s="5">
        <v>5.9999999999999995E-4</v>
      </c>
      <c r="R31" s="5">
        <v>6.4999999999999997E-4</v>
      </c>
      <c r="S31" s="5">
        <v>7.1000000000000002E-4</v>
      </c>
      <c r="T31" s="5">
        <v>7.7999999999999999E-4</v>
      </c>
      <c r="U31" s="5">
        <v>8.4000000000000003E-4</v>
      </c>
      <c r="V31" s="5">
        <v>8.8000000000000003E-4</v>
      </c>
      <c r="W31" s="5">
        <v>8.9999999999999998E-4</v>
      </c>
      <c r="X31" s="5">
        <v>9.3999999999999997E-4</v>
      </c>
      <c r="Y31" s="5">
        <v>9.8999999999999999E-4</v>
      </c>
      <c r="Z31" s="5">
        <v>1.0499999999999999E-3</v>
      </c>
    </row>
    <row r="32" spans="1:26" x14ac:dyDescent="0.3">
      <c r="A32" s="5">
        <v>25</v>
      </c>
      <c r="B32" s="5">
        <v>1E-4</v>
      </c>
      <c r="C32" s="5">
        <v>1.2999999999999999E-4</v>
      </c>
      <c r="D32" s="5">
        <v>1.3999999999999999E-4</v>
      </c>
      <c r="E32" s="5">
        <v>1.4999999999999999E-4</v>
      </c>
      <c r="F32" s="5">
        <v>1.7000000000000001E-4</v>
      </c>
      <c r="G32" s="5">
        <v>2.0000000000000001E-4</v>
      </c>
      <c r="H32" s="5">
        <v>2.3000000000000001E-4</v>
      </c>
      <c r="I32" s="5">
        <v>2.5999999999999998E-4</v>
      </c>
      <c r="J32" s="5">
        <v>2.9E-4</v>
      </c>
      <c r="K32" s="5">
        <v>3.2000000000000003E-4</v>
      </c>
      <c r="L32" s="5">
        <v>3.5E-4</v>
      </c>
      <c r="M32" s="5">
        <v>4.0000000000000002E-4</v>
      </c>
      <c r="N32" s="5">
        <v>4.6000000000000001E-4</v>
      </c>
      <c r="O32" s="5">
        <v>5.2999999999999998E-4</v>
      </c>
      <c r="P32" s="5">
        <v>5.9000000000000003E-4</v>
      </c>
      <c r="Q32" s="5">
        <v>6.2E-4</v>
      </c>
      <c r="R32" s="5">
        <v>6.7000000000000002E-4</v>
      </c>
      <c r="S32" s="5">
        <v>7.2999999999999996E-4</v>
      </c>
      <c r="T32" s="5">
        <v>7.9000000000000001E-4</v>
      </c>
      <c r="U32" s="5">
        <v>8.4999999999999995E-4</v>
      </c>
      <c r="V32" s="5">
        <v>8.9999999999999998E-4</v>
      </c>
      <c r="W32" s="5">
        <v>9.3999999999999997E-4</v>
      </c>
      <c r="X32" s="5">
        <v>9.8999999999999999E-4</v>
      </c>
      <c r="Y32" s="5">
        <v>1.0499999999999999E-3</v>
      </c>
      <c r="Z32" s="5">
        <v>1.1299999999999999E-3</v>
      </c>
    </row>
    <row r="33" spans="1:26" x14ac:dyDescent="0.3">
      <c r="A33" s="5">
        <v>26</v>
      </c>
      <c r="B33" s="7">
        <v>9.0000000000000006E-5</v>
      </c>
      <c r="C33" s="5">
        <v>1.2E-4</v>
      </c>
      <c r="D33" s="5">
        <v>1.3999999999999999E-4</v>
      </c>
      <c r="E33" s="5">
        <v>1.4999999999999999E-4</v>
      </c>
      <c r="F33" s="5">
        <v>1.7000000000000001E-4</v>
      </c>
      <c r="G33" s="5">
        <v>2.0000000000000001E-4</v>
      </c>
      <c r="H33" s="5">
        <v>2.3000000000000001E-4</v>
      </c>
      <c r="I33" s="5">
        <v>2.7E-4</v>
      </c>
      <c r="J33" s="5">
        <v>3.1E-4</v>
      </c>
      <c r="K33" s="5">
        <v>3.5E-4</v>
      </c>
      <c r="L33" s="5">
        <v>3.8999999999999999E-4</v>
      </c>
      <c r="M33" s="5">
        <v>4.4000000000000002E-4</v>
      </c>
      <c r="N33" s="5">
        <v>5.1000000000000004E-4</v>
      </c>
      <c r="O33" s="5">
        <v>5.8E-4</v>
      </c>
      <c r="P33" s="5">
        <v>6.0999999999999997E-4</v>
      </c>
      <c r="Q33" s="5">
        <v>6.4000000000000005E-4</v>
      </c>
      <c r="R33" s="5">
        <v>6.8999999999999997E-4</v>
      </c>
      <c r="S33" s="5">
        <v>7.5000000000000002E-4</v>
      </c>
      <c r="T33" s="5">
        <v>8.1999999999999998E-4</v>
      </c>
      <c r="U33" s="5">
        <v>8.8000000000000003E-4</v>
      </c>
      <c r="V33" s="5">
        <v>9.3999999999999997E-4</v>
      </c>
      <c r="W33" s="5">
        <v>9.8999999999999999E-4</v>
      </c>
      <c r="X33" s="5">
        <v>1.0499999999999999E-3</v>
      </c>
      <c r="Y33" s="5">
        <v>1.1299999999999999E-3</v>
      </c>
      <c r="Z33" s="5">
        <v>1.23E-3</v>
      </c>
    </row>
    <row r="34" spans="1:26" x14ac:dyDescent="0.3">
      <c r="A34" s="5">
        <v>27</v>
      </c>
      <c r="B34" s="7">
        <v>8.0000000000000007E-5</v>
      </c>
      <c r="C34" s="5">
        <v>1.2E-4</v>
      </c>
      <c r="D34" s="5">
        <v>1.3999999999999999E-4</v>
      </c>
      <c r="E34" s="5">
        <v>1.6000000000000001E-4</v>
      </c>
      <c r="F34" s="5">
        <v>1.8000000000000001E-4</v>
      </c>
      <c r="G34" s="5">
        <v>2.0000000000000001E-4</v>
      </c>
      <c r="H34" s="5">
        <v>2.4000000000000001E-4</v>
      </c>
      <c r="I34" s="5">
        <v>2.9E-4</v>
      </c>
      <c r="J34" s="5">
        <v>3.3E-4</v>
      </c>
      <c r="K34" s="5">
        <v>3.8000000000000002E-4</v>
      </c>
      <c r="L34" s="5">
        <v>4.2999999999999999E-4</v>
      </c>
      <c r="M34" s="5">
        <v>4.8999999999999998E-4</v>
      </c>
      <c r="N34" s="5">
        <v>5.5999999999999995E-4</v>
      </c>
      <c r="O34" s="5">
        <v>6.0999999999999997E-4</v>
      </c>
      <c r="P34" s="5">
        <v>6.4000000000000005E-4</v>
      </c>
      <c r="Q34" s="5">
        <v>6.7000000000000002E-4</v>
      </c>
      <c r="R34" s="5">
        <v>7.2000000000000005E-4</v>
      </c>
      <c r="S34" s="5">
        <v>7.7999999999999999E-4</v>
      </c>
      <c r="T34" s="5">
        <v>8.4999999999999995E-4</v>
      </c>
      <c r="U34" s="5">
        <v>9.2000000000000003E-4</v>
      </c>
      <c r="V34" s="5">
        <v>9.8999999999999999E-4</v>
      </c>
      <c r="W34" s="5">
        <v>1.0499999999999999E-3</v>
      </c>
      <c r="X34" s="5">
        <v>1.1299999999999999E-3</v>
      </c>
      <c r="Y34" s="5">
        <v>1.23E-3</v>
      </c>
      <c r="Z34" s="5">
        <v>1.3500000000000001E-3</v>
      </c>
    </row>
    <row r="35" spans="1:26" x14ac:dyDescent="0.3">
      <c r="A35" s="5">
        <v>28</v>
      </c>
      <c r="B35" s="7">
        <v>6.9999999999999994E-5</v>
      </c>
      <c r="C35" s="5">
        <v>1.2E-4</v>
      </c>
      <c r="D35" s="5">
        <v>1.3999999999999999E-4</v>
      </c>
      <c r="E35" s="5">
        <v>1.6000000000000001E-4</v>
      </c>
      <c r="F35" s="5">
        <v>1.8000000000000001E-4</v>
      </c>
      <c r="G35" s="5">
        <v>2.1000000000000001E-4</v>
      </c>
      <c r="H35" s="5">
        <v>2.5999999999999998E-4</v>
      </c>
      <c r="I35" s="5">
        <v>3.1E-4</v>
      </c>
      <c r="J35" s="5">
        <v>3.6000000000000002E-4</v>
      </c>
      <c r="K35" s="5">
        <v>4.0999999999999999E-4</v>
      </c>
      <c r="L35" s="5">
        <v>4.6999999999999999E-4</v>
      </c>
      <c r="M35" s="5">
        <v>5.2999999999999998E-4</v>
      </c>
      <c r="N35" s="5">
        <v>5.9999999999999995E-4</v>
      </c>
      <c r="O35" s="5">
        <v>6.4000000000000005E-4</v>
      </c>
      <c r="P35" s="5">
        <v>6.6E-4</v>
      </c>
      <c r="Q35" s="5">
        <v>6.9999999999999999E-4</v>
      </c>
      <c r="R35" s="5">
        <v>7.5000000000000002E-4</v>
      </c>
      <c r="S35" s="5">
        <v>8.1999999999999998E-4</v>
      </c>
      <c r="T35" s="5">
        <v>8.8999999999999995E-4</v>
      </c>
      <c r="U35" s="5">
        <v>9.7000000000000005E-4</v>
      </c>
      <c r="V35" s="5">
        <v>1.0499999999999999E-3</v>
      </c>
      <c r="W35" s="5">
        <v>1.1299999999999999E-3</v>
      </c>
      <c r="X35" s="5">
        <v>1.23E-3</v>
      </c>
      <c r="Y35" s="5">
        <v>1.3500000000000001E-3</v>
      </c>
      <c r="Z35" s="5">
        <v>1.5100000000000001E-3</v>
      </c>
    </row>
    <row r="36" spans="1:26" x14ac:dyDescent="0.3">
      <c r="A36" s="5">
        <v>29</v>
      </c>
      <c r="B36" s="7">
        <v>6.9999999999999994E-5</v>
      </c>
      <c r="C36" s="5">
        <v>1.2999999999999999E-4</v>
      </c>
      <c r="D36" s="5">
        <v>1.4999999999999999E-4</v>
      </c>
      <c r="E36" s="5">
        <v>1.6000000000000001E-4</v>
      </c>
      <c r="F36" s="5">
        <v>1.9000000000000001E-4</v>
      </c>
      <c r="G36" s="5">
        <v>2.3000000000000001E-4</v>
      </c>
      <c r="H36" s="5">
        <v>2.7999999999999998E-4</v>
      </c>
      <c r="I36" s="5">
        <v>3.4000000000000002E-4</v>
      </c>
      <c r="J36" s="5">
        <v>3.8999999999999999E-4</v>
      </c>
      <c r="K36" s="5">
        <v>4.4999999999999999E-4</v>
      </c>
      <c r="L36" s="5">
        <v>5.0000000000000001E-4</v>
      </c>
      <c r="M36" s="5">
        <v>5.5999999999999995E-4</v>
      </c>
      <c r="N36" s="5">
        <v>6.2E-4</v>
      </c>
      <c r="O36" s="5">
        <v>6.6E-4</v>
      </c>
      <c r="P36" s="5">
        <v>6.8999999999999997E-4</v>
      </c>
      <c r="Q36" s="5">
        <v>7.2999999999999996E-4</v>
      </c>
      <c r="R36" s="5">
        <v>8.0000000000000004E-4</v>
      </c>
      <c r="S36" s="5">
        <v>8.8000000000000003E-4</v>
      </c>
      <c r="T36" s="5">
        <v>9.6000000000000002E-4</v>
      </c>
      <c r="U36" s="5">
        <v>1.0399999999999999E-3</v>
      </c>
      <c r="V36" s="5">
        <v>1.1299999999999999E-3</v>
      </c>
      <c r="W36" s="5">
        <v>1.23E-3</v>
      </c>
      <c r="X36" s="5">
        <v>1.3500000000000001E-3</v>
      </c>
      <c r="Y36" s="5">
        <v>1.5100000000000001E-3</v>
      </c>
      <c r="Z36" s="5">
        <v>1.6999999999999999E-3</v>
      </c>
    </row>
    <row r="37" spans="1:26" x14ac:dyDescent="0.3">
      <c r="A37" s="5">
        <v>30</v>
      </c>
      <c r="B37" s="7">
        <v>6.9999999999999994E-5</v>
      </c>
      <c r="C37" s="5">
        <v>1.2999999999999999E-4</v>
      </c>
      <c r="D37" s="5">
        <v>1.4999999999999999E-4</v>
      </c>
      <c r="E37" s="5">
        <v>1.7000000000000001E-4</v>
      </c>
      <c r="F37" s="5">
        <v>2.0000000000000001E-4</v>
      </c>
      <c r="G37" s="5">
        <v>2.5000000000000001E-4</v>
      </c>
      <c r="H37" s="5">
        <v>3.1E-4</v>
      </c>
      <c r="I37" s="5">
        <v>3.6999999999999999E-4</v>
      </c>
      <c r="J37" s="5">
        <v>4.2000000000000002E-4</v>
      </c>
      <c r="K37" s="5">
        <v>4.6999999999999999E-4</v>
      </c>
      <c r="L37" s="5">
        <v>5.2999999999999998E-4</v>
      </c>
      <c r="M37" s="5">
        <v>5.9000000000000003E-4</v>
      </c>
      <c r="N37" s="5">
        <v>6.4999999999999997E-4</v>
      </c>
      <c r="O37" s="5">
        <v>6.8000000000000005E-4</v>
      </c>
      <c r="P37" s="5">
        <v>7.2000000000000005E-4</v>
      </c>
      <c r="Q37" s="5">
        <v>7.7999999999999999E-4</v>
      </c>
      <c r="R37" s="5">
        <v>8.5999999999999998E-4</v>
      </c>
      <c r="S37" s="5">
        <v>9.5E-4</v>
      </c>
      <c r="T37" s="5">
        <v>1.0300000000000001E-3</v>
      </c>
      <c r="U37" s="5">
        <v>1.1199999999999999E-3</v>
      </c>
      <c r="V37" s="5">
        <v>1.23E-3</v>
      </c>
      <c r="W37" s="5">
        <v>1.3500000000000001E-3</v>
      </c>
      <c r="X37" s="5">
        <v>1.5100000000000001E-3</v>
      </c>
      <c r="Y37" s="5">
        <v>1.6999999999999999E-3</v>
      </c>
      <c r="Z37" s="5">
        <v>1.9E-3</v>
      </c>
    </row>
    <row r="38" spans="1:26" x14ac:dyDescent="0.3">
      <c r="A38" s="5">
        <v>31</v>
      </c>
      <c r="B38" s="7">
        <v>8.0000000000000007E-5</v>
      </c>
      <c r="C38" s="5">
        <v>1.3999999999999999E-4</v>
      </c>
      <c r="D38" s="5">
        <v>1.6000000000000001E-4</v>
      </c>
      <c r="E38" s="5">
        <v>1.9000000000000001E-4</v>
      </c>
      <c r="F38" s="5">
        <v>2.2000000000000001E-4</v>
      </c>
      <c r="G38" s="5">
        <v>2.7999999999999998E-4</v>
      </c>
      <c r="H38" s="5">
        <v>3.4000000000000002E-4</v>
      </c>
      <c r="I38" s="5">
        <v>4.0000000000000002E-4</v>
      </c>
      <c r="J38" s="5">
        <v>4.4999999999999999E-4</v>
      </c>
      <c r="K38" s="5">
        <v>5.0000000000000001E-4</v>
      </c>
      <c r="L38" s="5">
        <v>5.5000000000000003E-4</v>
      </c>
      <c r="M38" s="5">
        <v>6.0999999999999997E-4</v>
      </c>
      <c r="N38" s="5">
        <v>6.7000000000000002E-4</v>
      </c>
      <c r="O38" s="5">
        <v>7.2000000000000005E-4</v>
      </c>
      <c r="P38" s="5">
        <v>7.6999999999999996E-4</v>
      </c>
      <c r="Q38" s="5">
        <v>8.4000000000000003E-4</v>
      </c>
      <c r="R38" s="5">
        <v>9.3999999999999997E-4</v>
      </c>
      <c r="S38" s="5">
        <v>1.0300000000000001E-3</v>
      </c>
      <c r="T38" s="5">
        <v>1.1100000000000001E-3</v>
      </c>
      <c r="U38" s="5">
        <v>1.2199999999999999E-3</v>
      </c>
      <c r="V38" s="5">
        <v>1.3500000000000001E-3</v>
      </c>
      <c r="W38" s="5">
        <v>1.5100000000000001E-3</v>
      </c>
      <c r="X38" s="5">
        <v>1.6999999999999999E-3</v>
      </c>
      <c r="Y38" s="5">
        <v>1.9E-3</v>
      </c>
      <c r="Z38" s="5">
        <v>2.0999999999999999E-3</v>
      </c>
    </row>
    <row r="39" spans="1:26" x14ac:dyDescent="0.3">
      <c r="A39" s="5">
        <v>32</v>
      </c>
      <c r="B39" s="7">
        <v>8.0000000000000007E-5</v>
      </c>
      <c r="C39" s="5">
        <v>1.3999999999999999E-4</v>
      </c>
      <c r="D39" s="5">
        <v>1.8000000000000001E-4</v>
      </c>
      <c r="E39" s="5">
        <v>2.1000000000000001E-4</v>
      </c>
      <c r="F39" s="5">
        <v>2.5999999999999998E-4</v>
      </c>
      <c r="G39" s="5">
        <v>3.1E-4</v>
      </c>
      <c r="H39" s="5">
        <v>3.6999999999999999E-4</v>
      </c>
      <c r="I39" s="5">
        <v>4.2000000000000002E-4</v>
      </c>
      <c r="J39" s="5">
        <v>4.6000000000000001E-4</v>
      </c>
      <c r="K39" s="5">
        <v>5.1000000000000004E-4</v>
      </c>
      <c r="L39" s="5">
        <v>5.6999999999999998E-4</v>
      </c>
      <c r="M39" s="5">
        <v>6.3000000000000003E-4</v>
      </c>
      <c r="N39" s="5">
        <v>7.1000000000000002E-4</v>
      </c>
      <c r="O39" s="5">
        <v>7.6999999999999996E-4</v>
      </c>
      <c r="P39" s="5">
        <v>8.4000000000000003E-4</v>
      </c>
      <c r="Q39" s="5">
        <v>9.2000000000000003E-4</v>
      </c>
      <c r="R39" s="5">
        <v>1.0200000000000001E-3</v>
      </c>
      <c r="S39" s="5">
        <v>1.1100000000000001E-3</v>
      </c>
      <c r="T39" s="5">
        <v>1.2099999999999999E-3</v>
      </c>
      <c r="U39" s="5">
        <v>1.34E-3</v>
      </c>
      <c r="V39" s="5">
        <v>1.5100000000000001E-3</v>
      </c>
      <c r="W39" s="5">
        <v>1.6999999999999999E-3</v>
      </c>
      <c r="X39" s="5">
        <v>1.9E-3</v>
      </c>
      <c r="Y39" s="5">
        <v>2.0999999999999999E-3</v>
      </c>
      <c r="Z39" s="5">
        <v>2.3E-3</v>
      </c>
    </row>
    <row r="40" spans="1:26" x14ac:dyDescent="0.3">
      <c r="A40" s="5">
        <v>33</v>
      </c>
      <c r="B40" s="7">
        <v>8.0000000000000007E-5</v>
      </c>
      <c r="C40" s="5">
        <v>1.4999999999999999E-4</v>
      </c>
      <c r="D40" s="5">
        <v>2.0000000000000001E-4</v>
      </c>
      <c r="E40" s="5">
        <v>2.4000000000000001E-4</v>
      </c>
      <c r="F40" s="5">
        <v>2.9E-4</v>
      </c>
      <c r="G40" s="5">
        <v>3.4000000000000002E-4</v>
      </c>
      <c r="H40" s="5">
        <v>4.0000000000000002E-4</v>
      </c>
      <c r="I40" s="5">
        <v>4.4999999999999999E-4</v>
      </c>
      <c r="J40" s="5">
        <v>4.8000000000000001E-4</v>
      </c>
      <c r="K40" s="5">
        <v>5.2999999999999998E-4</v>
      </c>
      <c r="L40" s="5">
        <v>5.9000000000000003E-4</v>
      </c>
      <c r="M40" s="5">
        <v>6.6E-4</v>
      </c>
      <c r="N40" s="5">
        <v>7.5000000000000002E-4</v>
      </c>
      <c r="O40" s="5">
        <v>8.3000000000000001E-4</v>
      </c>
      <c r="P40" s="5">
        <v>9.2000000000000003E-4</v>
      </c>
      <c r="Q40" s="5">
        <v>1E-3</v>
      </c>
      <c r="R40" s="5">
        <v>1.1100000000000001E-3</v>
      </c>
      <c r="S40" s="5">
        <v>1.2099999999999999E-3</v>
      </c>
      <c r="T40" s="5">
        <v>1.33E-3</v>
      </c>
      <c r="U40" s="5">
        <v>1.5E-3</v>
      </c>
      <c r="V40" s="5">
        <v>1.6999999999999999E-3</v>
      </c>
      <c r="W40" s="5">
        <v>1.9E-3</v>
      </c>
      <c r="X40" s="5">
        <v>2.0999999999999999E-3</v>
      </c>
      <c r="Y40" s="5">
        <v>2.3E-3</v>
      </c>
      <c r="Z40" s="5">
        <v>2.49E-3</v>
      </c>
    </row>
    <row r="41" spans="1:26" x14ac:dyDescent="0.3">
      <c r="A41" s="5">
        <v>34</v>
      </c>
      <c r="B41" s="7">
        <v>9.0000000000000006E-5</v>
      </c>
      <c r="C41" s="5">
        <v>1.4999999999999999E-4</v>
      </c>
      <c r="D41" s="5">
        <v>2.2000000000000001E-4</v>
      </c>
      <c r="E41" s="5">
        <v>2.7999999999999998E-4</v>
      </c>
      <c r="F41" s="5">
        <v>3.3E-4</v>
      </c>
      <c r="G41" s="5">
        <v>3.6999999999999999E-4</v>
      </c>
      <c r="H41" s="5">
        <v>4.2999999999999999E-4</v>
      </c>
      <c r="I41" s="5">
        <v>4.6999999999999999E-4</v>
      </c>
      <c r="J41" s="5">
        <v>5.0000000000000001E-4</v>
      </c>
      <c r="K41" s="5">
        <v>5.5000000000000003E-4</v>
      </c>
      <c r="L41" s="5">
        <v>6.0999999999999997E-4</v>
      </c>
      <c r="M41" s="5">
        <v>7.1000000000000002E-4</v>
      </c>
      <c r="N41" s="5">
        <v>8.1999999999999998E-4</v>
      </c>
      <c r="O41" s="5">
        <v>9.1E-4</v>
      </c>
      <c r="P41" s="5">
        <v>1E-3</v>
      </c>
      <c r="Q41" s="5">
        <v>1.09E-3</v>
      </c>
      <c r="R41" s="5">
        <v>1.1999999999999999E-3</v>
      </c>
      <c r="S41" s="5">
        <v>1.32E-3</v>
      </c>
      <c r="T41" s="5">
        <v>1.48E-3</v>
      </c>
      <c r="U41" s="5">
        <v>1.6800000000000001E-3</v>
      </c>
      <c r="V41" s="5">
        <v>1.9E-3</v>
      </c>
      <c r="W41" s="5">
        <v>2.0999999999999999E-3</v>
      </c>
      <c r="X41" s="5">
        <v>2.3E-3</v>
      </c>
      <c r="Y41" s="5">
        <v>2.49E-3</v>
      </c>
      <c r="Z41" s="5">
        <v>2.6900000000000001E-3</v>
      </c>
    </row>
    <row r="42" spans="1:26" x14ac:dyDescent="0.3">
      <c r="A42" s="5">
        <v>35</v>
      </c>
      <c r="B42" s="5">
        <v>1E-4</v>
      </c>
      <c r="C42" s="5">
        <v>1.6000000000000001E-4</v>
      </c>
      <c r="D42" s="5">
        <v>2.5000000000000001E-4</v>
      </c>
      <c r="E42" s="5">
        <v>3.1E-4</v>
      </c>
      <c r="F42" s="5">
        <v>3.6000000000000002E-4</v>
      </c>
      <c r="G42" s="5">
        <v>4.0999999999999999E-4</v>
      </c>
      <c r="H42" s="5">
        <v>4.6999999999999999E-4</v>
      </c>
      <c r="I42" s="5">
        <v>5.0000000000000001E-4</v>
      </c>
      <c r="J42" s="5">
        <v>5.1999999999999995E-4</v>
      </c>
      <c r="K42" s="5">
        <v>5.6999999999999998E-4</v>
      </c>
      <c r="L42" s="5">
        <v>6.6E-4</v>
      </c>
      <c r="M42" s="5">
        <v>7.7999999999999999E-4</v>
      </c>
      <c r="N42" s="5">
        <v>8.9999999999999998E-4</v>
      </c>
      <c r="O42" s="5">
        <v>1E-3</v>
      </c>
      <c r="P42" s="5">
        <v>1.09E-3</v>
      </c>
      <c r="Q42" s="5">
        <v>1.1900000000000001E-3</v>
      </c>
      <c r="R42" s="5">
        <v>1.31E-3</v>
      </c>
      <c r="S42" s="5">
        <v>1.4499999999999999E-3</v>
      </c>
      <c r="T42" s="5">
        <v>1.64E-3</v>
      </c>
      <c r="U42" s="5">
        <v>1.8699999999999999E-3</v>
      </c>
      <c r="V42" s="5">
        <v>2.0999999999999999E-3</v>
      </c>
      <c r="W42" s="5">
        <v>2.3E-3</v>
      </c>
      <c r="X42" s="5">
        <v>2.49E-3</v>
      </c>
      <c r="Y42" s="5">
        <v>2.6900000000000001E-3</v>
      </c>
      <c r="Z42" s="5">
        <v>2.9099999999999998E-3</v>
      </c>
    </row>
    <row r="43" spans="1:26" x14ac:dyDescent="0.3">
      <c r="A43" s="5">
        <v>36</v>
      </c>
      <c r="B43" s="5">
        <v>1E-4</v>
      </c>
      <c r="C43" s="5">
        <v>1.8000000000000001E-4</v>
      </c>
      <c r="D43" s="5">
        <v>2.7E-4</v>
      </c>
      <c r="E43" s="5">
        <v>3.4000000000000002E-4</v>
      </c>
      <c r="F43" s="5">
        <v>4.0000000000000002E-4</v>
      </c>
      <c r="G43" s="5">
        <v>4.4999999999999999E-4</v>
      </c>
      <c r="H43" s="5">
        <v>4.8999999999999998E-4</v>
      </c>
      <c r="I43" s="5">
        <v>5.1999999999999995E-4</v>
      </c>
      <c r="J43" s="5">
        <v>5.5000000000000003E-4</v>
      </c>
      <c r="K43" s="5">
        <v>6.2E-4</v>
      </c>
      <c r="L43" s="5">
        <v>7.2999999999999996E-4</v>
      </c>
      <c r="M43" s="5">
        <v>8.5999999999999998E-4</v>
      </c>
      <c r="N43" s="5">
        <v>9.8999999999999999E-4</v>
      </c>
      <c r="O43" s="5">
        <v>1.09E-3</v>
      </c>
      <c r="P43" s="5">
        <v>1.1800000000000001E-3</v>
      </c>
      <c r="Q43" s="5">
        <v>1.2899999999999999E-3</v>
      </c>
      <c r="R43" s="5">
        <v>1.42E-3</v>
      </c>
      <c r="S43" s="5">
        <v>1.5900000000000001E-3</v>
      </c>
      <c r="T43" s="5">
        <v>1.81E-3</v>
      </c>
      <c r="U43" s="5">
        <v>2.0600000000000002E-3</v>
      </c>
      <c r="V43" s="5">
        <v>2.3E-3</v>
      </c>
      <c r="W43" s="5">
        <v>2.49E-3</v>
      </c>
      <c r="X43" s="5">
        <v>2.6900000000000001E-3</v>
      </c>
      <c r="Y43" s="5">
        <v>2.9099999999999998E-3</v>
      </c>
      <c r="Z43" s="5">
        <v>3.16E-3</v>
      </c>
    </row>
    <row r="44" spans="1:26" x14ac:dyDescent="0.3">
      <c r="A44" s="5">
        <v>37</v>
      </c>
      <c r="B44" s="5">
        <v>1.1E-4</v>
      </c>
      <c r="C44" s="5">
        <v>1.8000000000000001E-4</v>
      </c>
      <c r="D44" s="5">
        <v>2.9E-4</v>
      </c>
      <c r="E44" s="5">
        <v>3.8000000000000002E-4</v>
      </c>
      <c r="F44" s="5">
        <v>4.4000000000000002E-4</v>
      </c>
      <c r="G44" s="5">
        <v>4.8999999999999998E-4</v>
      </c>
      <c r="H44" s="5">
        <v>5.1999999999999995E-4</v>
      </c>
      <c r="I44" s="5">
        <v>5.5000000000000003E-4</v>
      </c>
      <c r="J44" s="5">
        <v>5.9000000000000003E-4</v>
      </c>
      <c r="K44" s="5">
        <v>6.8000000000000005E-4</v>
      </c>
      <c r="L44" s="5">
        <v>8.0999999999999996E-4</v>
      </c>
      <c r="M44" s="5">
        <v>9.3999999999999997E-4</v>
      </c>
      <c r="N44" s="5">
        <v>1.08E-3</v>
      </c>
      <c r="O44" s="5">
        <v>1.1800000000000001E-3</v>
      </c>
      <c r="P44" s="5">
        <v>1.2800000000000001E-3</v>
      </c>
      <c r="Q44" s="5">
        <v>1.39E-3</v>
      </c>
      <c r="R44" s="5">
        <v>1.5499999999999999E-3</v>
      </c>
      <c r="S44" s="5">
        <v>1.74E-3</v>
      </c>
      <c r="T44" s="5">
        <v>1.98E-3</v>
      </c>
      <c r="U44" s="5">
        <v>2.2399999999999998E-3</v>
      </c>
      <c r="V44" s="5">
        <v>2.49E-3</v>
      </c>
      <c r="W44" s="5">
        <v>2.6900000000000001E-3</v>
      </c>
      <c r="X44" s="5">
        <v>2.9099999999999998E-3</v>
      </c>
      <c r="Y44" s="5">
        <v>3.16E-3</v>
      </c>
      <c r="Z44" s="5">
        <v>3.46E-3</v>
      </c>
    </row>
    <row r="45" spans="1:26" x14ac:dyDescent="0.3">
      <c r="A45" s="5">
        <v>38</v>
      </c>
      <c r="B45" s="5">
        <v>1.2E-4</v>
      </c>
      <c r="C45" s="5">
        <v>1.9000000000000001E-4</v>
      </c>
      <c r="D45" s="5">
        <v>3.1E-4</v>
      </c>
      <c r="E45" s="5">
        <v>4.0000000000000002E-4</v>
      </c>
      <c r="F45" s="5">
        <v>4.6999999999999999E-4</v>
      </c>
      <c r="G45" s="5">
        <v>5.1000000000000004E-4</v>
      </c>
      <c r="H45" s="5">
        <v>5.4000000000000001E-4</v>
      </c>
      <c r="I45" s="5">
        <v>5.8E-4</v>
      </c>
      <c r="J45" s="5">
        <v>6.4999999999999997E-4</v>
      </c>
      <c r="K45" s="5">
        <v>7.6000000000000004E-4</v>
      </c>
      <c r="L45" s="5">
        <v>8.9999999999999998E-4</v>
      </c>
      <c r="M45" s="5">
        <v>1.0399999999999999E-3</v>
      </c>
      <c r="N45" s="5">
        <v>1.17E-3</v>
      </c>
      <c r="O45" s="5">
        <v>1.2700000000000001E-3</v>
      </c>
      <c r="P45" s="5">
        <v>1.3699999999999999E-3</v>
      </c>
      <c r="Q45" s="5">
        <v>1.5100000000000001E-3</v>
      </c>
      <c r="R45" s="5">
        <v>1.6800000000000001E-3</v>
      </c>
      <c r="S45" s="5">
        <v>1.9E-3</v>
      </c>
      <c r="T45" s="5">
        <v>2.15E-3</v>
      </c>
      <c r="U45" s="5">
        <v>2.4299999999999999E-3</v>
      </c>
      <c r="V45" s="5">
        <v>2.6900000000000001E-3</v>
      </c>
      <c r="W45" s="5">
        <v>2.9099999999999998E-3</v>
      </c>
      <c r="X45" s="5">
        <v>3.16E-3</v>
      </c>
      <c r="Y45" s="5">
        <v>3.46E-3</v>
      </c>
      <c r="Z45" s="5">
        <v>3.8E-3</v>
      </c>
    </row>
    <row r="46" spans="1:26" x14ac:dyDescent="0.3">
      <c r="A46" s="5">
        <v>39</v>
      </c>
      <c r="B46" s="5">
        <v>1.2999999999999999E-4</v>
      </c>
      <c r="C46" s="5">
        <v>2.1000000000000001E-4</v>
      </c>
      <c r="D46" s="5">
        <v>3.2000000000000003E-4</v>
      </c>
      <c r="E46" s="5">
        <v>4.2000000000000002E-4</v>
      </c>
      <c r="F46" s="5">
        <v>5.0000000000000001E-4</v>
      </c>
      <c r="G46" s="5">
        <v>5.4000000000000001E-4</v>
      </c>
      <c r="H46" s="5">
        <v>5.8E-4</v>
      </c>
      <c r="I46" s="5">
        <v>6.4000000000000005E-4</v>
      </c>
      <c r="J46" s="5">
        <v>7.2000000000000005E-4</v>
      </c>
      <c r="K46" s="5">
        <v>8.4999999999999995E-4</v>
      </c>
      <c r="L46" s="5">
        <v>9.8999999999999999E-4</v>
      </c>
      <c r="M46" s="5">
        <v>1.1299999999999999E-3</v>
      </c>
      <c r="N46" s="5">
        <v>1.2600000000000001E-3</v>
      </c>
      <c r="O46" s="5">
        <v>1.3699999999999999E-3</v>
      </c>
      <c r="P46" s="5">
        <v>1.48E-3</v>
      </c>
      <c r="Q46" s="5">
        <v>1.6299999999999999E-3</v>
      </c>
      <c r="R46" s="5">
        <v>1.83E-3</v>
      </c>
      <c r="S46" s="5">
        <v>2.0600000000000002E-3</v>
      </c>
      <c r="T46" s="5">
        <v>2.33E-3</v>
      </c>
      <c r="U46" s="5">
        <v>2.63E-3</v>
      </c>
      <c r="V46" s="5">
        <v>2.9099999999999998E-3</v>
      </c>
      <c r="W46" s="5">
        <v>3.16E-3</v>
      </c>
      <c r="X46" s="5">
        <v>3.46E-3</v>
      </c>
      <c r="Y46" s="5">
        <v>3.8E-3</v>
      </c>
      <c r="Z46" s="5">
        <v>4.1900000000000001E-3</v>
      </c>
    </row>
    <row r="47" spans="1:26" x14ac:dyDescent="0.3">
      <c r="A47" s="5">
        <v>40</v>
      </c>
      <c r="B47" s="5">
        <v>1.3999999999999999E-4</v>
      </c>
      <c r="C47" s="5">
        <v>2.2000000000000001E-4</v>
      </c>
      <c r="D47" s="5">
        <v>3.3E-4</v>
      </c>
      <c r="E47" s="5">
        <v>4.2999999999999999E-4</v>
      </c>
      <c r="F47" s="5">
        <v>5.2999999999999998E-4</v>
      </c>
      <c r="G47" s="5">
        <v>5.8E-4</v>
      </c>
      <c r="H47" s="5">
        <v>6.3000000000000003E-4</v>
      </c>
      <c r="I47" s="5">
        <v>6.9999999999999999E-4</v>
      </c>
      <c r="J47" s="5">
        <v>7.9000000000000001E-4</v>
      </c>
      <c r="K47" s="5">
        <v>9.3999999999999997E-4</v>
      </c>
      <c r="L47" s="5">
        <v>1.09E-3</v>
      </c>
      <c r="M47" s="5">
        <v>1.2199999999999999E-3</v>
      </c>
      <c r="N47" s="5">
        <v>1.3500000000000001E-3</v>
      </c>
      <c r="O47" s="5">
        <v>1.47E-3</v>
      </c>
      <c r="P47" s="5">
        <v>1.6100000000000001E-3</v>
      </c>
      <c r="Q47" s="5">
        <v>1.7799999999999999E-3</v>
      </c>
      <c r="R47" s="5">
        <v>1.99E-3</v>
      </c>
      <c r="S47" s="5">
        <v>2.2399999999999998E-3</v>
      </c>
      <c r="T47" s="5">
        <v>2.5200000000000001E-3</v>
      </c>
      <c r="U47" s="5">
        <v>2.8400000000000001E-3</v>
      </c>
      <c r="V47" s="5">
        <v>3.16E-3</v>
      </c>
      <c r="W47" s="5">
        <v>3.46E-3</v>
      </c>
      <c r="X47" s="5">
        <v>3.8E-3</v>
      </c>
      <c r="Y47" s="5">
        <v>4.1900000000000001E-3</v>
      </c>
      <c r="Z47" s="5">
        <v>4.6100000000000004E-3</v>
      </c>
    </row>
    <row r="48" spans="1:26" x14ac:dyDescent="0.3">
      <c r="A48" s="5">
        <v>41</v>
      </c>
      <c r="B48" s="5">
        <v>1.3999999999999999E-4</v>
      </c>
      <c r="C48" s="5">
        <v>2.3000000000000001E-4</v>
      </c>
      <c r="D48" s="5">
        <v>3.4000000000000002E-4</v>
      </c>
      <c r="E48" s="5">
        <v>4.4999999999999999E-4</v>
      </c>
      <c r="F48" s="5">
        <v>5.5999999999999995E-4</v>
      </c>
      <c r="G48" s="5">
        <v>6.3000000000000003E-4</v>
      </c>
      <c r="H48" s="5">
        <v>6.8999999999999997E-4</v>
      </c>
      <c r="I48" s="5">
        <v>7.6000000000000004E-4</v>
      </c>
      <c r="J48" s="5">
        <v>8.8000000000000003E-4</v>
      </c>
      <c r="K48" s="5">
        <v>1.0300000000000001E-3</v>
      </c>
      <c r="L48" s="5">
        <v>1.1800000000000001E-3</v>
      </c>
      <c r="M48" s="5">
        <v>1.31E-3</v>
      </c>
      <c r="N48" s="5">
        <v>1.4499999999999999E-3</v>
      </c>
      <c r="O48" s="5">
        <v>1.6000000000000001E-3</v>
      </c>
      <c r="P48" s="5">
        <v>1.7600000000000001E-3</v>
      </c>
      <c r="Q48" s="5">
        <v>1.9499999999999999E-3</v>
      </c>
      <c r="R48" s="5">
        <v>2.1800000000000001E-3</v>
      </c>
      <c r="S48" s="5">
        <v>2.4299999999999999E-3</v>
      </c>
      <c r="T48" s="5">
        <v>2.7299999999999998E-3</v>
      </c>
      <c r="U48" s="5">
        <v>3.0999999999999999E-3</v>
      </c>
      <c r="V48" s="5">
        <v>3.46E-3</v>
      </c>
      <c r="W48" s="5">
        <v>3.8E-3</v>
      </c>
      <c r="X48" s="5">
        <v>4.1900000000000001E-3</v>
      </c>
      <c r="Y48" s="5">
        <v>4.6100000000000004E-3</v>
      </c>
      <c r="Z48" s="5">
        <v>5.0600000000000003E-3</v>
      </c>
    </row>
    <row r="49" spans="1:26" x14ac:dyDescent="0.3">
      <c r="A49" s="5">
        <v>42</v>
      </c>
      <c r="B49" s="5">
        <v>1.4999999999999999E-4</v>
      </c>
      <c r="C49" s="5">
        <v>2.5000000000000001E-4</v>
      </c>
      <c r="D49" s="5">
        <v>3.5E-4</v>
      </c>
      <c r="E49" s="5">
        <v>4.8999999999999998E-4</v>
      </c>
      <c r="F49" s="5">
        <v>6.0999999999999997E-4</v>
      </c>
      <c r="G49" s="5">
        <v>6.8000000000000005E-4</v>
      </c>
      <c r="H49" s="5">
        <v>7.3999999999999999E-4</v>
      </c>
      <c r="I49" s="5">
        <v>8.1999999999999998E-4</v>
      </c>
      <c r="J49" s="5">
        <v>9.6000000000000002E-4</v>
      </c>
      <c r="K49" s="5">
        <v>1.1199999999999999E-3</v>
      </c>
      <c r="L49" s="5">
        <v>1.2700000000000001E-3</v>
      </c>
      <c r="M49" s="5">
        <v>1.4E-3</v>
      </c>
      <c r="N49" s="5">
        <v>1.57E-3</v>
      </c>
      <c r="O49" s="5">
        <v>1.75E-3</v>
      </c>
      <c r="P49" s="5">
        <v>1.9300000000000001E-3</v>
      </c>
      <c r="Q49" s="5">
        <v>2.15E-3</v>
      </c>
      <c r="R49" s="5">
        <v>2.3900000000000002E-3</v>
      </c>
      <c r="S49" s="5">
        <v>2.6700000000000001E-3</v>
      </c>
      <c r="T49" s="5">
        <v>3.0000000000000001E-3</v>
      </c>
      <c r="U49" s="5">
        <v>3.3899999999999998E-3</v>
      </c>
      <c r="V49" s="5">
        <v>3.8E-3</v>
      </c>
      <c r="W49" s="5">
        <v>4.1900000000000001E-3</v>
      </c>
      <c r="X49" s="5">
        <v>4.6100000000000004E-3</v>
      </c>
      <c r="Y49" s="5">
        <v>5.0600000000000003E-3</v>
      </c>
      <c r="Z49" s="5">
        <v>5.5500000000000002E-3</v>
      </c>
    </row>
    <row r="50" spans="1:26" x14ac:dyDescent="0.3">
      <c r="A50" s="5">
        <v>43</v>
      </c>
      <c r="B50" s="5">
        <v>1.7000000000000001E-4</v>
      </c>
      <c r="C50" s="5">
        <v>2.5999999999999998E-4</v>
      </c>
      <c r="D50" s="5">
        <v>3.6999999999999999E-4</v>
      </c>
      <c r="E50" s="5">
        <v>5.5000000000000003E-4</v>
      </c>
      <c r="F50" s="5">
        <v>6.6E-4</v>
      </c>
      <c r="G50" s="5">
        <v>7.2999999999999996E-4</v>
      </c>
      <c r="H50" s="5">
        <v>7.9000000000000001E-4</v>
      </c>
      <c r="I50" s="5">
        <v>8.9999999999999998E-4</v>
      </c>
      <c r="J50" s="5">
        <v>1.0499999999999999E-3</v>
      </c>
      <c r="K50" s="5">
        <v>1.2099999999999999E-3</v>
      </c>
      <c r="L50" s="5">
        <v>1.3600000000000001E-3</v>
      </c>
      <c r="M50" s="5">
        <v>1.5100000000000001E-3</v>
      </c>
      <c r="N50" s="5">
        <v>1.7099999999999999E-3</v>
      </c>
      <c r="O50" s="5">
        <v>1.92E-3</v>
      </c>
      <c r="P50" s="5">
        <v>2.1299999999999999E-3</v>
      </c>
      <c r="Q50" s="5">
        <v>2.3600000000000001E-3</v>
      </c>
      <c r="R50" s="5">
        <v>2.6199999999999999E-3</v>
      </c>
      <c r="S50" s="5">
        <v>2.9199999999999999E-3</v>
      </c>
      <c r="T50" s="5">
        <v>3.2799999999999999E-3</v>
      </c>
      <c r="U50" s="5">
        <v>3.7299999999999998E-3</v>
      </c>
      <c r="V50" s="5">
        <v>4.1900000000000001E-3</v>
      </c>
      <c r="W50" s="5">
        <v>4.6100000000000004E-3</v>
      </c>
      <c r="X50" s="5">
        <v>5.0600000000000003E-3</v>
      </c>
      <c r="Y50" s="5">
        <v>5.5500000000000002E-3</v>
      </c>
      <c r="Z50" s="5">
        <v>6.0899999999999999E-3</v>
      </c>
    </row>
    <row r="51" spans="1:26" x14ac:dyDescent="0.3">
      <c r="A51" s="5">
        <v>44</v>
      </c>
      <c r="B51" s="5">
        <v>1.9000000000000001E-4</v>
      </c>
      <c r="C51" s="5">
        <v>2.5999999999999998E-4</v>
      </c>
      <c r="D51" s="5">
        <v>4.0000000000000002E-4</v>
      </c>
      <c r="E51" s="5">
        <v>6.0999999999999997E-4</v>
      </c>
      <c r="F51" s="5">
        <v>7.1000000000000002E-4</v>
      </c>
      <c r="G51" s="5">
        <v>7.7999999999999999E-4</v>
      </c>
      <c r="H51" s="5">
        <v>8.4999999999999995E-4</v>
      </c>
      <c r="I51" s="5">
        <v>9.7999999999999997E-4</v>
      </c>
      <c r="J51" s="5">
        <v>1.1299999999999999E-3</v>
      </c>
      <c r="K51" s="5">
        <v>1.2999999999999999E-3</v>
      </c>
      <c r="L51" s="5">
        <v>1.4599999999999999E-3</v>
      </c>
      <c r="M51" s="5">
        <v>1.64E-3</v>
      </c>
      <c r="N51" s="5">
        <v>1.8799999999999999E-3</v>
      </c>
      <c r="O51" s="5">
        <v>2.1099999999999999E-3</v>
      </c>
      <c r="P51" s="5">
        <v>2.3400000000000001E-3</v>
      </c>
      <c r="Q51" s="5">
        <v>2.5899999999999999E-3</v>
      </c>
      <c r="R51" s="5">
        <v>2.8700000000000002E-3</v>
      </c>
      <c r="S51" s="5">
        <v>3.2000000000000002E-3</v>
      </c>
      <c r="T51" s="5">
        <v>3.6099999999999999E-3</v>
      </c>
      <c r="U51" s="5">
        <v>4.1000000000000003E-3</v>
      </c>
      <c r="V51" s="5">
        <v>4.6100000000000004E-3</v>
      </c>
      <c r="W51" s="5">
        <v>5.0600000000000003E-3</v>
      </c>
      <c r="X51" s="5">
        <v>5.5500000000000002E-3</v>
      </c>
      <c r="Y51" s="5">
        <v>6.0899999999999999E-3</v>
      </c>
      <c r="Z51" s="5">
        <v>6.6800000000000002E-3</v>
      </c>
    </row>
    <row r="52" spans="1:26" x14ac:dyDescent="0.3">
      <c r="A52" s="5">
        <v>45</v>
      </c>
      <c r="B52" s="5">
        <v>2.1000000000000001E-4</v>
      </c>
      <c r="C52" s="5">
        <v>2.7E-4</v>
      </c>
      <c r="D52" s="5">
        <v>4.4999999999999999E-4</v>
      </c>
      <c r="E52" s="5">
        <v>6.7000000000000002E-4</v>
      </c>
      <c r="F52" s="5">
        <v>7.6000000000000004E-4</v>
      </c>
      <c r="G52" s="5">
        <v>8.4000000000000003E-4</v>
      </c>
      <c r="H52" s="5">
        <v>9.2000000000000003E-4</v>
      </c>
      <c r="I52" s="5">
        <v>1.06E-3</v>
      </c>
      <c r="J52" s="5">
        <v>1.2199999999999999E-3</v>
      </c>
      <c r="K52" s="5">
        <v>1.39E-3</v>
      </c>
      <c r="L52" s="5">
        <v>1.57E-3</v>
      </c>
      <c r="M52" s="5">
        <v>1.8E-3</v>
      </c>
      <c r="N52" s="5">
        <v>2.0699999999999998E-3</v>
      </c>
      <c r="O52" s="5">
        <v>2.33E-3</v>
      </c>
      <c r="P52" s="5">
        <v>2.5699999999999998E-3</v>
      </c>
      <c r="Q52" s="5">
        <v>2.8400000000000001E-3</v>
      </c>
      <c r="R52" s="5">
        <v>3.1700000000000001E-3</v>
      </c>
      <c r="S52" s="5">
        <v>3.5400000000000002E-3</v>
      </c>
      <c r="T52" s="5">
        <v>3.9899999999999996E-3</v>
      </c>
      <c r="U52" s="5">
        <v>4.4999999999999997E-3</v>
      </c>
      <c r="V52" s="5">
        <v>5.0600000000000003E-3</v>
      </c>
      <c r="W52" s="5">
        <v>5.5500000000000002E-3</v>
      </c>
      <c r="X52" s="5">
        <v>6.0899999999999999E-3</v>
      </c>
      <c r="Y52" s="5">
        <v>6.6800000000000002E-3</v>
      </c>
      <c r="Z52" s="5">
        <v>7.3600000000000002E-3</v>
      </c>
    </row>
    <row r="53" spans="1:26" x14ac:dyDescent="0.3">
      <c r="A53" s="5">
        <v>46</v>
      </c>
      <c r="B53" s="5">
        <v>2.3000000000000001E-4</v>
      </c>
      <c r="C53" s="5">
        <v>2.7999999999999998E-4</v>
      </c>
      <c r="D53" s="5">
        <v>5.1000000000000004E-4</v>
      </c>
      <c r="E53" s="5">
        <v>7.2000000000000005E-4</v>
      </c>
      <c r="F53" s="5">
        <v>8.1999999999999998E-4</v>
      </c>
      <c r="G53" s="5">
        <v>9.1E-4</v>
      </c>
      <c r="H53" s="5">
        <v>1.01E-3</v>
      </c>
      <c r="I53" s="5">
        <v>1.16E-3</v>
      </c>
      <c r="J53" s="5">
        <v>1.32E-3</v>
      </c>
      <c r="K53" s="5">
        <v>1.5E-3</v>
      </c>
      <c r="L53" s="5">
        <v>1.7099999999999999E-3</v>
      </c>
      <c r="M53" s="5">
        <v>1.98E-3</v>
      </c>
      <c r="N53" s="5">
        <v>2.2899999999999999E-3</v>
      </c>
      <c r="O53" s="5">
        <v>2.5699999999999998E-3</v>
      </c>
      <c r="P53" s="5">
        <v>2.8300000000000001E-3</v>
      </c>
      <c r="Q53" s="5">
        <v>3.14E-3</v>
      </c>
      <c r="R53" s="5">
        <v>3.5000000000000001E-3</v>
      </c>
      <c r="S53" s="5">
        <v>3.9100000000000003E-3</v>
      </c>
      <c r="T53" s="5">
        <v>4.3899999999999998E-3</v>
      </c>
      <c r="U53" s="5">
        <v>4.9399999999999999E-3</v>
      </c>
      <c r="V53" s="5">
        <v>5.5500000000000002E-3</v>
      </c>
      <c r="W53" s="5">
        <v>6.0899999999999999E-3</v>
      </c>
      <c r="X53" s="5">
        <v>6.6800000000000002E-3</v>
      </c>
      <c r="Y53" s="5">
        <v>7.3600000000000002E-3</v>
      </c>
      <c r="Z53" s="5">
        <v>8.1600000000000006E-3</v>
      </c>
    </row>
    <row r="54" spans="1:26" x14ac:dyDescent="0.3">
      <c r="A54" s="5">
        <v>47</v>
      </c>
      <c r="B54" s="5">
        <v>2.5000000000000001E-4</v>
      </c>
      <c r="C54" s="5">
        <v>2.9E-4</v>
      </c>
      <c r="D54" s="5">
        <v>5.9999999999999995E-4</v>
      </c>
      <c r="E54" s="5">
        <v>7.7999999999999999E-4</v>
      </c>
      <c r="F54" s="5">
        <v>8.8999999999999995E-4</v>
      </c>
      <c r="G54" s="5">
        <v>9.8999999999999999E-4</v>
      </c>
      <c r="H54" s="5">
        <v>1.1100000000000001E-3</v>
      </c>
      <c r="I54" s="5">
        <v>1.2600000000000001E-3</v>
      </c>
      <c r="J54" s="5">
        <v>1.4300000000000001E-3</v>
      </c>
      <c r="K54" s="5">
        <v>1.6199999999999999E-3</v>
      </c>
      <c r="L54" s="5">
        <v>1.8699999999999999E-3</v>
      </c>
      <c r="M54" s="5">
        <v>2.1900000000000001E-3</v>
      </c>
      <c r="N54" s="5">
        <v>2.5400000000000002E-3</v>
      </c>
      <c r="O54" s="5">
        <v>2.8300000000000001E-3</v>
      </c>
      <c r="P54" s="5">
        <v>3.13E-3</v>
      </c>
      <c r="Q54" s="5">
        <v>3.48E-3</v>
      </c>
      <c r="R54" s="5">
        <v>3.8800000000000002E-3</v>
      </c>
      <c r="S54" s="5">
        <v>4.3200000000000001E-3</v>
      </c>
      <c r="T54" s="5">
        <v>4.8399999999999997E-3</v>
      </c>
      <c r="U54" s="5">
        <v>5.4200000000000003E-3</v>
      </c>
      <c r="V54" s="5">
        <v>6.0899999999999999E-3</v>
      </c>
      <c r="W54" s="5">
        <v>6.6800000000000002E-3</v>
      </c>
      <c r="X54" s="5">
        <v>7.3600000000000002E-3</v>
      </c>
      <c r="Y54" s="5">
        <v>8.1600000000000006E-3</v>
      </c>
      <c r="Z54" s="5">
        <v>9.11E-3</v>
      </c>
    </row>
    <row r="55" spans="1:26" x14ac:dyDescent="0.3">
      <c r="A55" s="5">
        <v>48</v>
      </c>
      <c r="B55" s="5">
        <v>2.5999999999999998E-4</v>
      </c>
      <c r="C55" s="5">
        <v>3.3E-4</v>
      </c>
      <c r="D55" s="5">
        <v>7.1000000000000002E-4</v>
      </c>
      <c r="E55" s="5">
        <v>8.5999999999999998E-4</v>
      </c>
      <c r="F55" s="5">
        <v>9.8999999999999999E-4</v>
      </c>
      <c r="G55" s="5">
        <v>1.09E-3</v>
      </c>
      <c r="H55" s="5">
        <v>1.2199999999999999E-3</v>
      </c>
      <c r="I55" s="5">
        <v>1.3799999999999999E-3</v>
      </c>
      <c r="J55" s="5">
        <v>1.5399999999999999E-3</v>
      </c>
      <c r="K55" s="5">
        <v>1.7600000000000001E-3</v>
      </c>
      <c r="L55" s="5">
        <v>2.0400000000000001E-3</v>
      </c>
      <c r="M55" s="5">
        <v>2.3999999999999998E-3</v>
      </c>
      <c r="N55" s="5">
        <v>2.8E-3</v>
      </c>
      <c r="O55" s="5">
        <v>3.1099999999999999E-3</v>
      </c>
      <c r="P55" s="5">
        <v>3.4299999999999999E-3</v>
      </c>
      <c r="Q55" s="5">
        <v>3.8300000000000001E-3</v>
      </c>
      <c r="R55" s="5">
        <v>4.28E-3</v>
      </c>
      <c r="S55" s="5">
        <v>4.7600000000000003E-3</v>
      </c>
      <c r="T55" s="5">
        <v>5.3099999999999996E-3</v>
      </c>
      <c r="U55" s="5">
        <v>5.94E-3</v>
      </c>
      <c r="V55" s="5">
        <v>6.6800000000000002E-3</v>
      </c>
      <c r="W55" s="5">
        <v>7.3600000000000002E-3</v>
      </c>
      <c r="X55" s="5">
        <v>8.1600000000000006E-3</v>
      </c>
      <c r="Y55" s="5">
        <v>9.11E-3</v>
      </c>
      <c r="Z55" s="5">
        <v>1.022E-2</v>
      </c>
    </row>
    <row r="56" spans="1:26" x14ac:dyDescent="0.3">
      <c r="A56" s="5">
        <v>49</v>
      </c>
      <c r="B56" s="5">
        <v>2.7E-4</v>
      </c>
      <c r="C56" s="5">
        <v>4.0999999999999999E-4</v>
      </c>
      <c r="D56" s="5">
        <v>8.1999999999999998E-4</v>
      </c>
      <c r="E56" s="5">
        <v>9.7000000000000005E-4</v>
      </c>
      <c r="F56" s="5">
        <v>1.09E-3</v>
      </c>
      <c r="G56" s="5">
        <v>1.1999999999999999E-3</v>
      </c>
      <c r="H56" s="5">
        <v>1.3500000000000001E-3</v>
      </c>
      <c r="I56" s="5">
        <v>1.5E-3</v>
      </c>
      <c r="J56" s="5">
        <v>1.6800000000000001E-3</v>
      </c>
      <c r="K56" s="5">
        <v>1.92E-3</v>
      </c>
      <c r="L56" s="5">
        <v>2.2399999999999998E-3</v>
      </c>
      <c r="M56" s="5">
        <v>2.63E-3</v>
      </c>
      <c r="N56" s="5">
        <v>3.0300000000000001E-3</v>
      </c>
      <c r="O56" s="5">
        <v>3.3800000000000002E-3</v>
      </c>
      <c r="P56" s="5">
        <v>3.7299999999999998E-3</v>
      </c>
      <c r="Q56" s="5">
        <v>4.1799999999999997E-3</v>
      </c>
      <c r="R56" s="5">
        <v>4.6800000000000001E-3</v>
      </c>
      <c r="S56" s="5">
        <v>5.1999999999999998E-3</v>
      </c>
      <c r="T56" s="5">
        <v>5.7999999999999996E-3</v>
      </c>
      <c r="U56" s="5">
        <v>6.5100000000000002E-3</v>
      </c>
      <c r="V56" s="5">
        <v>7.3600000000000002E-3</v>
      </c>
      <c r="W56" s="5">
        <v>8.1600000000000006E-3</v>
      </c>
      <c r="X56" s="5">
        <v>9.11E-3</v>
      </c>
      <c r="Y56" s="5">
        <v>1.022E-2</v>
      </c>
      <c r="Z56" s="5">
        <v>1.1520000000000001E-2</v>
      </c>
    </row>
    <row r="57" spans="1:26" x14ac:dyDescent="0.3">
      <c r="A57" s="5">
        <v>50</v>
      </c>
      <c r="B57" s="5">
        <v>2.7999999999999998E-4</v>
      </c>
      <c r="C57" s="5">
        <v>5.4000000000000001E-4</v>
      </c>
      <c r="D57" s="5">
        <v>9.3999999999999997E-4</v>
      </c>
      <c r="E57" s="5">
        <v>1.08E-3</v>
      </c>
      <c r="F57" s="5">
        <v>1.1999999999999999E-3</v>
      </c>
      <c r="G57" s="5">
        <v>1.33E-3</v>
      </c>
      <c r="H57" s="5">
        <v>1.48E-3</v>
      </c>
      <c r="I57" s="5">
        <v>1.6299999999999999E-3</v>
      </c>
      <c r="J57" s="5">
        <v>1.83E-3</v>
      </c>
      <c r="K57" s="5">
        <v>2.1099999999999999E-3</v>
      </c>
      <c r="L57" s="5">
        <v>2.4599999999999999E-3</v>
      </c>
      <c r="M57" s="5">
        <v>2.8500000000000001E-3</v>
      </c>
      <c r="N57" s="5">
        <v>3.2599999999999999E-3</v>
      </c>
      <c r="O57" s="5">
        <v>3.63E-3</v>
      </c>
      <c r="P57" s="5">
        <v>4.0400000000000002E-3</v>
      </c>
      <c r="Q57" s="5">
        <v>4.5599999999999998E-3</v>
      </c>
      <c r="R57" s="5">
        <v>5.1000000000000004E-3</v>
      </c>
      <c r="S57" s="5">
        <v>5.6600000000000001E-3</v>
      </c>
      <c r="T57" s="5">
        <v>6.3200000000000001E-3</v>
      </c>
      <c r="U57" s="5">
        <v>7.1399999999999996E-3</v>
      </c>
      <c r="V57" s="5">
        <v>8.1600000000000006E-3</v>
      </c>
      <c r="W57" s="5">
        <v>9.11E-3</v>
      </c>
      <c r="X57" s="5">
        <v>1.022E-2</v>
      </c>
      <c r="Y57" s="5">
        <v>1.1520000000000001E-2</v>
      </c>
      <c r="Z57" s="5">
        <v>1.303E-2</v>
      </c>
    </row>
    <row r="58" spans="1:26" x14ac:dyDescent="0.3">
      <c r="A58" s="5">
        <v>51</v>
      </c>
      <c r="B58" s="5">
        <v>2.7999999999999998E-4</v>
      </c>
      <c r="C58" s="5">
        <v>6.8000000000000005E-4</v>
      </c>
      <c r="D58" s="5">
        <v>1.0300000000000001E-3</v>
      </c>
      <c r="E58" s="5">
        <v>1.17E-3</v>
      </c>
      <c r="F58" s="5">
        <v>1.31E-3</v>
      </c>
      <c r="G58" s="5">
        <v>1.4599999999999999E-3</v>
      </c>
      <c r="H58" s="5">
        <v>1.6100000000000001E-3</v>
      </c>
      <c r="I58" s="5">
        <v>1.7799999999999999E-3</v>
      </c>
      <c r="J58" s="5">
        <v>2.0200000000000001E-3</v>
      </c>
      <c r="K58" s="5">
        <v>2.3400000000000001E-3</v>
      </c>
      <c r="L58" s="5">
        <v>2.7100000000000002E-3</v>
      </c>
      <c r="M58" s="5">
        <v>3.0899999999999999E-3</v>
      </c>
      <c r="N58" s="5">
        <v>3.49E-3</v>
      </c>
      <c r="O58" s="5">
        <v>3.8999999999999998E-3</v>
      </c>
      <c r="P58" s="5">
        <v>4.3899999999999998E-3</v>
      </c>
      <c r="Q58" s="5">
        <v>4.9699999999999996E-3</v>
      </c>
      <c r="R58" s="5">
        <v>5.5399999999999998E-3</v>
      </c>
      <c r="S58" s="5">
        <v>6.1399999999999996E-3</v>
      </c>
      <c r="T58" s="5">
        <v>6.9100000000000003E-3</v>
      </c>
      <c r="U58" s="5">
        <v>7.9000000000000008E-3</v>
      </c>
      <c r="V58" s="5">
        <v>9.11E-3</v>
      </c>
      <c r="W58" s="5">
        <v>1.022E-2</v>
      </c>
      <c r="X58" s="5">
        <v>1.1520000000000001E-2</v>
      </c>
      <c r="Y58" s="5">
        <v>1.303E-2</v>
      </c>
      <c r="Z58" s="5">
        <v>1.4749999999999999E-2</v>
      </c>
    </row>
    <row r="59" spans="1:26" x14ac:dyDescent="0.3">
      <c r="A59" s="5">
        <v>52</v>
      </c>
      <c r="B59" s="5">
        <v>2.9E-4</v>
      </c>
      <c r="C59" s="5">
        <v>8.0000000000000004E-4</v>
      </c>
      <c r="D59" s="5">
        <v>1.1000000000000001E-3</v>
      </c>
      <c r="E59" s="5">
        <v>1.2600000000000001E-3</v>
      </c>
      <c r="F59" s="5">
        <v>1.42E-3</v>
      </c>
      <c r="G59" s="5">
        <v>1.5900000000000001E-3</v>
      </c>
      <c r="H59" s="5">
        <v>1.7600000000000001E-3</v>
      </c>
      <c r="I59" s="5">
        <v>1.97E-3</v>
      </c>
      <c r="J59" s="5">
        <v>2.2399999999999998E-3</v>
      </c>
      <c r="K59" s="5">
        <v>2.5999999999999999E-3</v>
      </c>
      <c r="L59" s="5">
        <v>2.97E-3</v>
      </c>
      <c r="M59" s="5">
        <v>3.3300000000000001E-3</v>
      </c>
      <c r="N59" s="5">
        <v>3.7499999999999999E-3</v>
      </c>
      <c r="O59" s="5">
        <v>4.2100000000000002E-3</v>
      </c>
      <c r="P59" s="5">
        <v>4.7800000000000004E-3</v>
      </c>
      <c r="Q59" s="5">
        <v>5.4200000000000003E-3</v>
      </c>
      <c r="R59" s="5">
        <v>6.0400000000000002E-3</v>
      </c>
      <c r="S59" s="5">
        <v>6.7600000000000004E-3</v>
      </c>
      <c r="T59" s="5">
        <v>7.6800000000000002E-3</v>
      </c>
      <c r="U59" s="5">
        <v>8.8299999999999993E-3</v>
      </c>
      <c r="V59" s="5">
        <v>1.022E-2</v>
      </c>
      <c r="W59" s="5">
        <v>1.1520000000000001E-2</v>
      </c>
      <c r="X59" s="5">
        <v>1.303E-2</v>
      </c>
      <c r="Y59" s="5">
        <v>1.4749999999999999E-2</v>
      </c>
      <c r="Z59" s="5">
        <v>1.6740000000000001E-2</v>
      </c>
    </row>
    <row r="60" spans="1:26" x14ac:dyDescent="0.3">
      <c r="A60" s="5">
        <v>53</v>
      </c>
      <c r="B60" s="5">
        <v>2.9999999999999997E-4</v>
      </c>
      <c r="C60" s="5">
        <v>8.4999999999999995E-4</v>
      </c>
      <c r="D60" s="5">
        <v>1.14E-3</v>
      </c>
      <c r="E60" s="5">
        <v>1.34E-3</v>
      </c>
      <c r="F60" s="5">
        <v>1.5499999999999999E-3</v>
      </c>
      <c r="G60" s="5">
        <v>1.74E-3</v>
      </c>
      <c r="H60" s="5">
        <v>1.9499999999999999E-3</v>
      </c>
      <c r="I60" s="5">
        <v>2.1900000000000001E-3</v>
      </c>
      <c r="J60" s="5">
        <v>2.5100000000000001E-3</v>
      </c>
      <c r="K60" s="5">
        <v>2.8800000000000002E-3</v>
      </c>
      <c r="L60" s="5">
        <v>3.2499999999999999E-3</v>
      </c>
      <c r="M60" s="5">
        <v>3.5999999999999999E-3</v>
      </c>
      <c r="N60" s="5">
        <v>4.0400000000000002E-3</v>
      </c>
      <c r="O60" s="5">
        <v>4.5799999999999999E-3</v>
      </c>
      <c r="P60" s="5">
        <v>5.2300000000000003E-3</v>
      </c>
      <c r="Q60" s="5">
        <v>5.9500000000000004E-3</v>
      </c>
      <c r="R60" s="5">
        <v>6.6899999999999998E-3</v>
      </c>
      <c r="S60" s="5">
        <v>7.5799999999999999E-3</v>
      </c>
      <c r="T60" s="5">
        <v>8.6599999999999993E-3</v>
      </c>
      <c r="U60" s="5">
        <v>9.9500000000000005E-3</v>
      </c>
      <c r="V60" s="5">
        <v>1.1520000000000001E-2</v>
      </c>
      <c r="W60" s="5">
        <v>1.303E-2</v>
      </c>
      <c r="X60" s="5">
        <v>1.4749999999999999E-2</v>
      </c>
      <c r="Y60" s="5">
        <v>1.6740000000000001E-2</v>
      </c>
      <c r="Z60" s="5">
        <v>1.9060000000000001E-2</v>
      </c>
    </row>
    <row r="61" spans="1:26" x14ac:dyDescent="0.3">
      <c r="A61" s="5">
        <v>54</v>
      </c>
      <c r="B61" s="5">
        <v>3.1E-4</v>
      </c>
      <c r="C61" s="5">
        <v>8.7000000000000001E-4</v>
      </c>
      <c r="D61" s="5">
        <v>1.1900000000000001E-3</v>
      </c>
      <c r="E61" s="5">
        <v>1.4E-3</v>
      </c>
      <c r="F61" s="5">
        <v>1.6999999999999999E-3</v>
      </c>
      <c r="G61" s="5">
        <v>1.92E-3</v>
      </c>
      <c r="H61" s="5">
        <v>2.1700000000000001E-3</v>
      </c>
      <c r="I61" s="5">
        <v>2.4499999999999999E-3</v>
      </c>
      <c r="J61" s="5">
        <v>2.8E-3</v>
      </c>
      <c r="K61" s="5">
        <v>3.1800000000000001E-3</v>
      </c>
      <c r="L61" s="5">
        <v>3.5300000000000002E-3</v>
      </c>
      <c r="M61" s="5">
        <v>3.8899999999999998E-3</v>
      </c>
      <c r="N61" s="5">
        <v>4.3899999999999998E-3</v>
      </c>
      <c r="O61" s="5">
        <v>5.0299999999999997E-3</v>
      </c>
      <c r="P61" s="5">
        <v>5.79E-3</v>
      </c>
      <c r="Q61" s="5">
        <v>6.62E-3</v>
      </c>
      <c r="R61" s="5">
        <v>7.4900000000000001E-3</v>
      </c>
      <c r="S61" s="5">
        <v>8.5400000000000007E-3</v>
      </c>
      <c r="T61" s="5">
        <v>9.8300000000000002E-3</v>
      </c>
      <c r="U61" s="5">
        <v>1.1390000000000001E-2</v>
      </c>
      <c r="V61" s="5">
        <v>1.303E-2</v>
      </c>
      <c r="W61" s="5">
        <v>1.4749999999999999E-2</v>
      </c>
      <c r="X61" s="5">
        <v>1.6740000000000001E-2</v>
      </c>
      <c r="Y61" s="5">
        <v>1.9060000000000001E-2</v>
      </c>
      <c r="Z61" s="5">
        <v>2.179E-2</v>
      </c>
    </row>
    <row r="62" spans="1:26" x14ac:dyDescent="0.3">
      <c r="A62" s="5">
        <v>55</v>
      </c>
      <c r="B62" s="5">
        <v>3.2000000000000003E-4</v>
      </c>
      <c r="C62" s="5">
        <v>8.8000000000000003E-4</v>
      </c>
      <c r="D62" s="5">
        <v>1.2099999999999999E-3</v>
      </c>
      <c r="E62" s="5">
        <v>1.48E-3</v>
      </c>
      <c r="F62" s="5">
        <v>1.8799999999999999E-3</v>
      </c>
      <c r="G62" s="5">
        <v>2.15E-3</v>
      </c>
      <c r="H62" s="5">
        <v>2.4299999999999999E-3</v>
      </c>
      <c r="I62" s="5">
        <v>2.7399999999999998E-3</v>
      </c>
      <c r="J62" s="5">
        <v>3.1099999999999999E-3</v>
      </c>
      <c r="K62" s="5">
        <v>3.47E-3</v>
      </c>
      <c r="L62" s="5">
        <v>3.81E-3</v>
      </c>
      <c r="M62" s="5">
        <v>4.2100000000000002E-3</v>
      </c>
      <c r="N62" s="5">
        <v>4.7999999999999996E-3</v>
      </c>
      <c r="O62" s="5">
        <v>5.5599999999999998E-3</v>
      </c>
      <c r="P62" s="5">
        <v>6.4400000000000004E-3</v>
      </c>
      <c r="Q62" s="5">
        <v>7.4200000000000004E-3</v>
      </c>
      <c r="R62" s="5">
        <v>8.4700000000000001E-3</v>
      </c>
      <c r="S62" s="5">
        <v>9.6900000000000007E-3</v>
      </c>
      <c r="T62" s="5">
        <v>1.12E-2</v>
      </c>
      <c r="U62" s="5">
        <v>1.303E-2</v>
      </c>
      <c r="V62" s="5">
        <v>1.4749999999999999E-2</v>
      </c>
      <c r="W62" s="5">
        <v>1.6740000000000001E-2</v>
      </c>
      <c r="X62" s="5">
        <v>1.9060000000000001E-2</v>
      </c>
      <c r="Y62" s="5">
        <v>2.179E-2</v>
      </c>
      <c r="Z62" s="5">
        <v>2.5080000000000002E-2</v>
      </c>
    </row>
    <row r="63" spans="1:26" x14ac:dyDescent="0.3">
      <c r="A63" s="5">
        <v>56</v>
      </c>
      <c r="B63" s="5">
        <v>3.3E-4</v>
      </c>
      <c r="C63" s="5">
        <v>8.8999999999999995E-4</v>
      </c>
      <c r="D63" s="5">
        <v>1.23E-3</v>
      </c>
      <c r="E63" s="5">
        <v>1.5900000000000001E-3</v>
      </c>
      <c r="F63" s="5">
        <v>2.1099999999999999E-3</v>
      </c>
      <c r="G63" s="5">
        <v>2.4199999999999998E-3</v>
      </c>
      <c r="H63" s="5">
        <v>2.7299999999999998E-3</v>
      </c>
      <c r="I63" s="5">
        <v>3.0500000000000002E-3</v>
      </c>
      <c r="J63" s="5">
        <v>3.4099999999999998E-3</v>
      </c>
      <c r="K63" s="5">
        <v>3.7399999999999998E-3</v>
      </c>
      <c r="L63" s="5">
        <v>4.0800000000000003E-3</v>
      </c>
      <c r="M63" s="5">
        <v>4.5500000000000002E-3</v>
      </c>
      <c r="N63" s="5">
        <v>5.2700000000000004E-3</v>
      </c>
      <c r="O63" s="5">
        <v>6.1799999999999997E-3</v>
      </c>
      <c r="P63" s="5">
        <v>7.2100000000000003E-3</v>
      </c>
      <c r="Q63" s="5">
        <v>8.3599999999999994E-3</v>
      </c>
      <c r="R63" s="5">
        <v>9.6100000000000005E-3</v>
      </c>
      <c r="S63" s="5">
        <v>1.1010000000000001E-2</v>
      </c>
      <c r="T63" s="5">
        <v>1.2710000000000001E-2</v>
      </c>
      <c r="U63" s="5">
        <v>1.4749999999999999E-2</v>
      </c>
      <c r="V63" s="5">
        <v>1.6740000000000001E-2</v>
      </c>
      <c r="W63" s="5">
        <v>1.9060000000000001E-2</v>
      </c>
      <c r="X63" s="5">
        <v>2.179E-2</v>
      </c>
      <c r="Y63" s="5">
        <v>2.5080000000000002E-2</v>
      </c>
      <c r="Z63" s="5">
        <v>2.896E-2</v>
      </c>
    </row>
    <row r="64" spans="1:26" x14ac:dyDescent="0.3">
      <c r="A64" s="5">
        <v>57</v>
      </c>
      <c r="B64" s="5">
        <v>3.4000000000000002E-4</v>
      </c>
      <c r="C64" s="5">
        <v>9.1E-4</v>
      </c>
      <c r="D64" s="5">
        <v>1.25E-3</v>
      </c>
      <c r="E64" s="5">
        <v>1.7600000000000001E-3</v>
      </c>
      <c r="F64" s="5">
        <v>2.3800000000000002E-3</v>
      </c>
      <c r="G64" s="5">
        <v>2.7200000000000002E-3</v>
      </c>
      <c r="H64" s="5">
        <v>3.0400000000000002E-3</v>
      </c>
      <c r="I64" s="5">
        <v>3.3500000000000001E-3</v>
      </c>
      <c r="J64" s="5">
        <v>3.6700000000000001E-3</v>
      </c>
      <c r="K64" s="5">
        <v>3.98E-3</v>
      </c>
      <c r="L64" s="5">
        <v>4.3600000000000002E-3</v>
      </c>
      <c r="M64" s="5">
        <v>4.9500000000000004E-3</v>
      </c>
      <c r="N64" s="5">
        <v>5.8300000000000001E-3</v>
      </c>
      <c r="O64" s="5">
        <v>6.8900000000000003E-3</v>
      </c>
      <c r="P64" s="5">
        <v>8.1099999999999992E-3</v>
      </c>
      <c r="Q64" s="5">
        <v>9.4500000000000001E-3</v>
      </c>
      <c r="R64" s="5">
        <v>1.0880000000000001E-2</v>
      </c>
      <c r="S64" s="5">
        <v>1.247E-2</v>
      </c>
      <c r="T64" s="5">
        <v>1.4420000000000001E-2</v>
      </c>
      <c r="U64" s="5">
        <v>1.6740000000000001E-2</v>
      </c>
      <c r="V64" s="5">
        <v>1.9060000000000001E-2</v>
      </c>
      <c r="W64" s="5">
        <v>2.179E-2</v>
      </c>
      <c r="X64" s="5">
        <v>2.5080000000000002E-2</v>
      </c>
      <c r="Y64" s="5">
        <v>2.896E-2</v>
      </c>
      <c r="Z64" s="5">
        <v>3.3070000000000002E-2</v>
      </c>
    </row>
    <row r="65" spans="1:26" x14ac:dyDescent="0.3">
      <c r="A65" s="5">
        <v>58</v>
      </c>
      <c r="B65" s="5">
        <v>3.6000000000000002E-4</v>
      </c>
      <c r="C65" s="5">
        <v>9.3999999999999997E-4</v>
      </c>
      <c r="D65" s="5">
        <v>1.2999999999999999E-3</v>
      </c>
      <c r="E65" s="5">
        <v>2.0100000000000001E-3</v>
      </c>
      <c r="F65" s="5">
        <v>2.6800000000000001E-3</v>
      </c>
      <c r="G65" s="5">
        <v>3.0300000000000001E-3</v>
      </c>
      <c r="H65" s="5">
        <v>3.3400000000000001E-3</v>
      </c>
      <c r="I65" s="5">
        <v>3.6099999999999999E-3</v>
      </c>
      <c r="J65" s="5">
        <v>3.8999999999999998E-3</v>
      </c>
      <c r="K65" s="5">
        <v>4.2300000000000003E-3</v>
      </c>
      <c r="L65" s="5">
        <v>4.7000000000000002E-3</v>
      </c>
      <c r="M65" s="5">
        <v>5.45E-3</v>
      </c>
      <c r="N65" s="5">
        <v>6.5300000000000002E-3</v>
      </c>
      <c r="O65" s="5">
        <v>7.79E-3</v>
      </c>
      <c r="P65" s="5">
        <v>9.1900000000000003E-3</v>
      </c>
      <c r="Q65" s="5">
        <v>1.074E-2</v>
      </c>
      <c r="R65" s="5">
        <v>1.239E-2</v>
      </c>
      <c r="S65" s="5">
        <v>1.4200000000000001E-2</v>
      </c>
      <c r="T65" s="5">
        <v>1.6420000000000001E-2</v>
      </c>
      <c r="U65" s="5">
        <v>1.9060000000000001E-2</v>
      </c>
      <c r="V65" s="5">
        <v>2.179E-2</v>
      </c>
      <c r="W65" s="5">
        <v>2.5080000000000002E-2</v>
      </c>
      <c r="X65" s="5">
        <v>2.896E-2</v>
      </c>
      <c r="Y65" s="5">
        <v>3.3070000000000002E-2</v>
      </c>
      <c r="Z65" s="5">
        <v>3.7339999999999998E-2</v>
      </c>
    </row>
    <row r="66" spans="1:26" x14ac:dyDescent="0.3">
      <c r="A66" s="5">
        <v>59</v>
      </c>
      <c r="B66" s="5">
        <v>4.0000000000000002E-4</v>
      </c>
      <c r="C66" s="5">
        <v>9.7000000000000005E-4</v>
      </c>
      <c r="D66" s="5">
        <v>1.4300000000000001E-3</v>
      </c>
      <c r="E66" s="5">
        <v>2.3E-3</v>
      </c>
      <c r="F66" s="5">
        <v>3.0000000000000001E-3</v>
      </c>
      <c r="G66" s="5">
        <v>3.3300000000000001E-3</v>
      </c>
      <c r="H66" s="5">
        <v>3.5899999999999999E-3</v>
      </c>
      <c r="I66" s="5">
        <v>3.8300000000000001E-3</v>
      </c>
      <c r="J66" s="5">
        <v>4.1099999999999999E-3</v>
      </c>
      <c r="K66" s="5">
        <v>4.5199999999999997E-3</v>
      </c>
      <c r="L66" s="5">
        <v>5.1399999999999996E-3</v>
      </c>
      <c r="M66" s="5">
        <v>6.1199999999999996E-3</v>
      </c>
      <c r="N66" s="5">
        <v>7.4200000000000004E-3</v>
      </c>
      <c r="O66" s="5">
        <v>8.8599999999999998E-3</v>
      </c>
      <c r="P66" s="5">
        <v>1.048E-2</v>
      </c>
      <c r="Q66" s="5">
        <v>1.225E-2</v>
      </c>
      <c r="R66" s="5">
        <v>1.4120000000000001E-2</v>
      </c>
      <c r="S66" s="5">
        <v>1.6129999999999999E-2</v>
      </c>
      <c r="T66" s="5">
        <v>1.8720000000000001E-2</v>
      </c>
      <c r="U66" s="5">
        <v>2.179E-2</v>
      </c>
      <c r="V66" s="5">
        <v>2.5080000000000002E-2</v>
      </c>
      <c r="W66" s="5">
        <v>2.896E-2</v>
      </c>
      <c r="X66" s="5">
        <v>3.3070000000000002E-2</v>
      </c>
      <c r="Y66" s="5">
        <v>3.7339999999999998E-2</v>
      </c>
      <c r="Z66" s="5">
        <v>4.2229999999999997E-2</v>
      </c>
    </row>
    <row r="67" spans="1:26" x14ac:dyDescent="0.3">
      <c r="A67" s="5">
        <v>60</v>
      </c>
      <c r="B67" s="5">
        <v>4.6999999999999999E-4</v>
      </c>
      <c r="C67" s="5">
        <v>1.01E-3</v>
      </c>
      <c r="D67" s="5">
        <v>1.67E-3</v>
      </c>
      <c r="E67" s="5">
        <v>2.5699999999999998E-3</v>
      </c>
      <c r="F67" s="5">
        <v>3.29E-3</v>
      </c>
      <c r="G67" s="5">
        <v>3.5799999999999998E-3</v>
      </c>
      <c r="H67" s="5">
        <v>3.8E-3</v>
      </c>
      <c r="I67" s="5">
        <v>4.0299999999999997E-3</v>
      </c>
      <c r="J67" s="5">
        <v>4.3699999999999998E-3</v>
      </c>
      <c r="K67" s="5">
        <v>4.9100000000000003E-3</v>
      </c>
      <c r="L67" s="5">
        <v>5.7499999999999999E-3</v>
      </c>
      <c r="M67" s="5">
        <v>6.9800000000000001E-3</v>
      </c>
      <c r="N67" s="5">
        <v>8.5000000000000006E-3</v>
      </c>
      <c r="O67" s="5">
        <v>1.0160000000000001E-2</v>
      </c>
      <c r="P67" s="5">
        <v>1.1990000000000001E-2</v>
      </c>
      <c r="Q67" s="5">
        <v>1.397E-2</v>
      </c>
      <c r="R67" s="5">
        <v>1.6060000000000001E-2</v>
      </c>
      <c r="S67" s="5">
        <v>1.8380000000000001E-2</v>
      </c>
      <c r="T67" s="5">
        <v>2.147E-2</v>
      </c>
      <c r="U67" s="5">
        <v>2.5080000000000002E-2</v>
      </c>
      <c r="V67" s="5">
        <v>2.896E-2</v>
      </c>
      <c r="W67" s="5">
        <v>3.3070000000000002E-2</v>
      </c>
      <c r="X67" s="5">
        <v>3.7339999999999998E-2</v>
      </c>
      <c r="Y67" s="5">
        <v>4.2229999999999997E-2</v>
      </c>
      <c r="Z67" s="5">
        <v>4.8980000000000003E-2</v>
      </c>
    </row>
    <row r="68" spans="1:26" x14ac:dyDescent="0.3">
      <c r="A68" s="5">
        <v>61</v>
      </c>
      <c r="B68" s="5">
        <v>5.5999999999999995E-4</v>
      </c>
      <c r="C68" s="5">
        <v>1.09E-3</v>
      </c>
      <c r="D68" s="5">
        <v>1.97E-3</v>
      </c>
      <c r="E68" s="5">
        <v>2.7899999999999999E-3</v>
      </c>
      <c r="F68" s="5">
        <v>3.5300000000000002E-3</v>
      </c>
      <c r="G68" s="5">
        <v>3.7699999999999999E-3</v>
      </c>
      <c r="H68" s="5">
        <v>3.9699999999999996E-3</v>
      </c>
      <c r="I68" s="5">
        <v>4.2599999999999999E-3</v>
      </c>
      <c r="J68" s="5">
        <v>4.7200000000000002E-3</v>
      </c>
      <c r="K68" s="5">
        <v>5.4599999999999996E-3</v>
      </c>
      <c r="L68" s="5">
        <v>6.5599999999999999E-3</v>
      </c>
      <c r="M68" s="5">
        <v>8.0499999999999999E-3</v>
      </c>
      <c r="N68" s="5">
        <v>9.7699999999999992E-3</v>
      </c>
      <c r="O68" s="5">
        <v>1.1639999999999999E-2</v>
      </c>
      <c r="P68" s="5">
        <v>1.366E-2</v>
      </c>
      <c r="Q68" s="5">
        <v>1.5869999999999999E-2</v>
      </c>
      <c r="R68" s="5">
        <v>1.831E-2</v>
      </c>
      <c r="S68" s="5">
        <v>2.129E-2</v>
      </c>
      <c r="T68" s="5">
        <v>2.494E-2</v>
      </c>
      <c r="U68" s="5">
        <v>2.896E-2</v>
      </c>
      <c r="V68" s="5">
        <v>3.3070000000000002E-2</v>
      </c>
      <c r="W68" s="5">
        <v>3.7339999999999998E-2</v>
      </c>
      <c r="X68" s="5">
        <v>4.2229999999999997E-2</v>
      </c>
      <c r="Y68" s="5">
        <v>4.8980000000000003E-2</v>
      </c>
      <c r="Z68" s="5">
        <v>5.6730000000000003E-2</v>
      </c>
    </row>
    <row r="69" spans="1:26" x14ac:dyDescent="0.3">
      <c r="A69" s="5">
        <v>62</v>
      </c>
      <c r="B69" s="5">
        <v>6.7000000000000002E-4</v>
      </c>
      <c r="C69" s="5">
        <v>1.23E-3</v>
      </c>
      <c r="D69" s="5">
        <v>2.32E-3</v>
      </c>
      <c r="E69" s="5">
        <v>3.0300000000000001E-3</v>
      </c>
      <c r="F69" s="5">
        <v>3.7100000000000002E-3</v>
      </c>
      <c r="G69" s="5">
        <v>3.9399999999999999E-3</v>
      </c>
      <c r="H69" s="5">
        <v>4.1999999999999997E-3</v>
      </c>
      <c r="I69" s="5">
        <v>4.62E-3</v>
      </c>
      <c r="J69" s="5">
        <v>5.2500000000000003E-3</v>
      </c>
      <c r="K69" s="5">
        <v>6.2199999999999998E-3</v>
      </c>
      <c r="L69" s="5">
        <v>7.6E-3</v>
      </c>
      <c r="M69" s="5">
        <v>9.3299999999999998E-3</v>
      </c>
      <c r="N69" s="5">
        <v>1.125E-2</v>
      </c>
      <c r="O69" s="5">
        <v>1.3299999999999999E-2</v>
      </c>
      <c r="P69" s="5">
        <v>1.554E-2</v>
      </c>
      <c r="Q69" s="5">
        <v>1.806E-2</v>
      </c>
      <c r="R69" s="5">
        <v>2.1129999999999999E-2</v>
      </c>
      <c r="S69" s="5">
        <v>2.4670000000000001E-2</v>
      </c>
      <c r="T69" s="5">
        <v>2.896E-2</v>
      </c>
      <c r="U69" s="5">
        <v>3.3070000000000002E-2</v>
      </c>
      <c r="V69" s="5">
        <v>3.7339999999999998E-2</v>
      </c>
      <c r="W69" s="5">
        <v>4.2229999999999997E-2</v>
      </c>
      <c r="X69" s="5">
        <v>4.8980000000000003E-2</v>
      </c>
      <c r="Y69" s="5">
        <v>5.6730000000000003E-2</v>
      </c>
      <c r="Z69" s="5">
        <v>6.4430000000000001E-2</v>
      </c>
    </row>
    <row r="70" spans="1:26" x14ac:dyDescent="0.3">
      <c r="A70" s="5">
        <v>63</v>
      </c>
      <c r="B70" s="5">
        <v>7.9000000000000001E-4</v>
      </c>
      <c r="C70" s="5">
        <v>1.47E-3</v>
      </c>
      <c r="D70" s="5">
        <v>2.66E-3</v>
      </c>
      <c r="E70" s="5">
        <v>3.3E-3</v>
      </c>
      <c r="F70" s="5">
        <v>3.82E-3</v>
      </c>
      <c r="G70" s="5">
        <v>4.1599999999999996E-3</v>
      </c>
      <c r="H70" s="5">
        <v>4.5999999999999999E-3</v>
      </c>
      <c r="I70" s="5">
        <v>5.1999999999999998E-3</v>
      </c>
      <c r="J70" s="5">
        <v>5.9899999999999997E-3</v>
      </c>
      <c r="K70" s="5">
        <v>7.2100000000000003E-3</v>
      </c>
      <c r="L70" s="5">
        <v>8.8500000000000002E-3</v>
      </c>
      <c r="M70" s="5">
        <v>1.078E-2</v>
      </c>
      <c r="N70" s="5">
        <v>1.286E-2</v>
      </c>
      <c r="O70" s="5">
        <v>1.5100000000000001E-2</v>
      </c>
      <c r="P70" s="5">
        <v>1.763E-2</v>
      </c>
      <c r="Q70" s="5">
        <v>2.0799999999999999E-2</v>
      </c>
      <c r="R70" s="5">
        <v>2.4510000000000001E-2</v>
      </c>
      <c r="S70" s="5">
        <v>2.8709999999999999E-2</v>
      </c>
      <c r="T70" s="5">
        <v>3.3070000000000002E-2</v>
      </c>
      <c r="U70" s="5">
        <v>3.7339999999999998E-2</v>
      </c>
      <c r="V70" s="5">
        <v>4.2229999999999997E-2</v>
      </c>
      <c r="W70" s="5">
        <v>4.8980000000000003E-2</v>
      </c>
      <c r="X70" s="5">
        <v>5.6730000000000003E-2</v>
      </c>
      <c r="Y70" s="5">
        <v>6.4430000000000001E-2</v>
      </c>
      <c r="Z70" s="5">
        <v>7.3249999999999996E-2</v>
      </c>
    </row>
    <row r="71" spans="1:26" x14ac:dyDescent="0.3">
      <c r="A71" s="5">
        <v>64</v>
      </c>
      <c r="B71" s="5">
        <v>8.8999999999999995E-4</v>
      </c>
      <c r="C71" s="5">
        <v>1.81E-3</v>
      </c>
      <c r="D71" s="5">
        <v>2.9299999999999999E-3</v>
      </c>
      <c r="E71" s="5">
        <v>3.47E-3</v>
      </c>
      <c r="F71" s="5">
        <v>3.9699999999999996E-3</v>
      </c>
      <c r="G71" s="5">
        <v>4.5100000000000001E-3</v>
      </c>
      <c r="H71" s="5">
        <v>5.1799999999999997E-3</v>
      </c>
      <c r="I71" s="5">
        <v>5.9199999999999999E-3</v>
      </c>
      <c r="J71" s="5">
        <v>6.9199999999999999E-3</v>
      </c>
      <c r="K71" s="5">
        <v>8.4600000000000005E-3</v>
      </c>
      <c r="L71" s="5">
        <v>1.0319999999999999E-2</v>
      </c>
      <c r="M71" s="5">
        <v>1.2359999999999999E-2</v>
      </c>
      <c r="N71" s="5">
        <v>1.46E-2</v>
      </c>
      <c r="O71" s="5">
        <v>1.703E-2</v>
      </c>
      <c r="P71" s="5">
        <v>1.9959999999999999E-2</v>
      </c>
      <c r="Q71" s="5">
        <v>2.402E-2</v>
      </c>
      <c r="R71" s="5">
        <v>2.827E-2</v>
      </c>
      <c r="S71" s="5">
        <v>3.3070000000000002E-2</v>
      </c>
      <c r="T71" s="5">
        <v>3.7339999999999998E-2</v>
      </c>
      <c r="U71" s="5">
        <v>4.2229999999999997E-2</v>
      </c>
      <c r="V71" s="5">
        <v>4.8980000000000003E-2</v>
      </c>
      <c r="W71" s="5">
        <v>5.6730000000000003E-2</v>
      </c>
      <c r="X71" s="5">
        <v>6.4430000000000001E-2</v>
      </c>
      <c r="Y71" s="5">
        <v>7.3249999999999996E-2</v>
      </c>
      <c r="Z71" s="5">
        <v>8.3309999999999995E-2</v>
      </c>
    </row>
    <row r="72" spans="1:26" x14ac:dyDescent="0.3">
      <c r="A72" s="5">
        <v>65</v>
      </c>
      <c r="B72" s="5">
        <v>9.8999999999999999E-4</v>
      </c>
      <c r="C72" s="5">
        <v>2.0600000000000002E-3</v>
      </c>
      <c r="D72" s="5">
        <v>3.14E-3</v>
      </c>
      <c r="E72" s="5">
        <v>3.5999999999999999E-3</v>
      </c>
      <c r="F72" s="5">
        <v>4.1799999999999997E-3</v>
      </c>
      <c r="G72" s="5">
        <v>5.0000000000000001E-3</v>
      </c>
      <c r="H72" s="5">
        <v>5.8399999999999997E-3</v>
      </c>
      <c r="I72" s="5">
        <v>6.77E-3</v>
      </c>
      <c r="J72" s="5">
        <v>8.09E-3</v>
      </c>
      <c r="K72" s="5">
        <v>9.9600000000000001E-3</v>
      </c>
      <c r="L72" s="5">
        <v>1.2E-2</v>
      </c>
      <c r="M72" s="5">
        <v>1.4120000000000001E-2</v>
      </c>
      <c r="N72" s="5">
        <v>1.6549999999999999E-2</v>
      </c>
      <c r="O72" s="5">
        <v>1.9400000000000001E-2</v>
      </c>
      <c r="P72" s="5">
        <v>2.282E-2</v>
      </c>
      <c r="Q72" s="5">
        <v>2.7480000000000001E-2</v>
      </c>
      <c r="R72" s="5">
        <v>3.2669999999999998E-2</v>
      </c>
      <c r="S72" s="5">
        <v>3.7339999999999998E-2</v>
      </c>
      <c r="T72" s="5">
        <v>4.2229999999999997E-2</v>
      </c>
      <c r="U72" s="5">
        <v>4.8980000000000003E-2</v>
      </c>
      <c r="V72" s="5">
        <v>5.6730000000000003E-2</v>
      </c>
      <c r="W72" s="5">
        <v>6.4430000000000001E-2</v>
      </c>
      <c r="X72" s="5">
        <v>7.3249999999999996E-2</v>
      </c>
      <c r="Y72" s="5">
        <v>8.3309999999999995E-2</v>
      </c>
      <c r="Z72" s="5">
        <v>9.4390000000000002E-2</v>
      </c>
    </row>
    <row r="73" spans="1:26" x14ac:dyDescent="0.3">
      <c r="A73" s="5">
        <v>66</v>
      </c>
      <c r="B73" s="5">
        <v>1.09E-3</v>
      </c>
      <c r="C73" s="5">
        <v>2.16E-3</v>
      </c>
      <c r="D73" s="5">
        <v>3.3E-3</v>
      </c>
      <c r="E73" s="5">
        <v>3.7200000000000002E-3</v>
      </c>
      <c r="F73" s="5">
        <v>4.4799999999999996E-3</v>
      </c>
      <c r="G73" s="5">
        <v>5.5599999999999998E-3</v>
      </c>
      <c r="H73" s="5">
        <v>6.6100000000000004E-3</v>
      </c>
      <c r="I73" s="5">
        <v>7.8200000000000006E-3</v>
      </c>
      <c r="J73" s="5">
        <v>9.4900000000000002E-3</v>
      </c>
      <c r="K73" s="5">
        <v>1.1690000000000001E-2</v>
      </c>
      <c r="L73" s="5">
        <v>1.391E-2</v>
      </c>
      <c r="M73" s="5">
        <v>1.6230000000000001E-2</v>
      </c>
      <c r="N73" s="5">
        <v>1.874E-2</v>
      </c>
      <c r="O73" s="5">
        <v>2.2069999999999999E-2</v>
      </c>
      <c r="P73" s="5">
        <v>2.5919999999999999E-2</v>
      </c>
      <c r="Q73" s="5">
        <v>3.116E-2</v>
      </c>
      <c r="R73" s="5">
        <v>3.7339999999999998E-2</v>
      </c>
      <c r="S73" s="5">
        <v>4.2229999999999997E-2</v>
      </c>
      <c r="T73" s="5">
        <v>4.8980000000000003E-2</v>
      </c>
      <c r="U73" s="5">
        <v>5.6730000000000003E-2</v>
      </c>
      <c r="V73" s="5">
        <v>6.4430000000000001E-2</v>
      </c>
      <c r="W73" s="5">
        <v>7.3249999999999996E-2</v>
      </c>
      <c r="X73" s="5">
        <v>8.3309999999999995E-2</v>
      </c>
      <c r="Y73" s="5">
        <v>9.4390000000000002E-2</v>
      </c>
      <c r="Z73" s="5">
        <v>0.10638</v>
      </c>
    </row>
    <row r="74" spans="1:26" x14ac:dyDescent="0.3">
      <c r="A74" s="5">
        <v>67</v>
      </c>
      <c r="B74" s="5">
        <v>1.2099999999999999E-3</v>
      </c>
      <c r="C74" s="5">
        <v>2.2499999999999998E-3</v>
      </c>
      <c r="D74" s="5">
        <v>3.4299999999999999E-3</v>
      </c>
      <c r="E74" s="5">
        <v>3.9199999999999999E-3</v>
      </c>
      <c r="F74" s="5">
        <v>4.9199999999999999E-3</v>
      </c>
      <c r="G74" s="5">
        <v>6.2199999999999998E-3</v>
      </c>
      <c r="H74" s="5">
        <v>7.5199999999999998E-3</v>
      </c>
      <c r="I74" s="5">
        <v>9.0600000000000003E-3</v>
      </c>
      <c r="J74" s="5">
        <v>1.1089999999999999E-2</v>
      </c>
      <c r="K74" s="5">
        <v>1.3650000000000001E-2</v>
      </c>
      <c r="L74" s="5">
        <v>1.6109999999999999E-2</v>
      </c>
      <c r="M74" s="5">
        <v>1.8610000000000002E-2</v>
      </c>
      <c r="N74" s="5">
        <v>2.1579999999999998E-2</v>
      </c>
      <c r="O74" s="5">
        <v>2.5270000000000001E-2</v>
      </c>
      <c r="P74" s="5">
        <v>2.913E-2</v>
      </c>
      <c r="Q74" s="5">
        <v>3.5360000000000003E-2</v>
      </c>
      <c r="R74" s="5">
        <v>4.2229999999999997E-2</v>
      </c>
      <c r="S74" s="5">
        <v>4.8980000000000003E-2</v>
      </c>
      <c r="T74" s="5">
        <v>5.6730000000000003E-2</v>
      </c>
      <c r="U74" s="5">
        <v>6.4430000000000001E-2</v>
      </c>
      <c r="V74" s="5">
        <v>7.3249999999999996E-2</v>
      </c>
      <c r="W74" s="5">
        <v>8.3309999999999995E-2</v>
      </c>
      <c r="X74" s="5">
        <v>9.4390000000000002E-2</v>
      </c>
      <c r="Y74" s="5">
        <v>0.10638</v>
      </c>
      <c r="Z74" s="5">
        <v>0.11927</v>
      </c>
    </row>
    <row r="75" spans="1:26" x14ac:dyDescent="0.3">
      <c r="A75" s="5">
        <v>68</v>
      </c>
      <c r="B75" s="5">
        <v>1.3500000000000001E-3</v>
      </c>
      <c r="C75" s="5">
        <v>2.33E-3</v>
      </c>
      <c r="D75" s="5">
        <v>3.5699999999999998E-3</v>
      </c>
      <c r="E75" s="5">
        <v>4.2700000000000004E-3</v>
      </c>
      <c r="F75" s="5">
        <v>5.4999999999999997E-3</v>
      </c>
      <c r="G75" s="5">
        <v>7.0099999999999997E-3</v>
      </c>
      <c r="H75" s="5">
        <v>8.5699999999999995E-3</v>
      </c>
      <c r="I75" s="5">
        <v>1.0449999999999999E-2</v>
      </c>
      <c r="J75" s="5">
        <v>1.29E-2</v>
      </c>
      <c r="K75" s="5">
        <v>1.584E-2</v>
      </c>
      <c r="L75" s="5">
        <v>1.848E-2</v>
      </c>
      <c r="M75" s="5">
        <v>2.146E-2</v>
      </c>
      <c r="N75" s="5">
        <v>2.5100000000000001E-2</v>
      </c>
      <c r="O75" s="5">
        <v>2.8989999999999998E-2</v>
      </c>
      <c r="P75" s="5">
        <v>3.381E-2</v>
      </c>
      <c r="Q75" s="5">
        <v>4.1149999999999999E-2</v>
      </c>
      <c r="R75" s="5">
        <v>4.8980000000000003E-2</v>
      </c>
      <c r="S75" s="5">
        <v>5.6730000000000003E-2</v>
      </c>
      <c r="T75" s="5">
        <v>6.4430000000000001E-2</v>
      </c>
      <c r="U75" s="5">
        <v>7.3249999999999996E-2</v>
      </c>
      <c r="V75" s="5">
        <v>8.3309999999999995E-2</v>
      </c>
      <c r="W75" s="5">
        <v>9.4390000000000002E-2</v>
      </c>
      <c r="X75" s="5">
        <v>0.10638</v>
      </c>
      <c r="Y75" s="5">
        <v>0.11927</v>
      </c>
      <c r="Z75" s="5">
        <v>0.13319</v>
      </c>
    </row>
    <row r="76" spans="1:26" x14ac:dyDescent="0.3">
      <c r="A76" s="5">
        <v>69</v>
      </c>
      <c r="B76" s="5">
        <v>1.49E-3</v>
      </c>
      <c r="C76" s="5">
        <v>2.4299999999999999E-3</v>
      </c>
      <c r="D76" s="5">
        <v>3.7200000000000002E-3</v>
      </c>
      <c r="E76" s="5">
        <v>4.6899999999999997E-3</v>
      </c>
      <c r="F76" s="5">
        <v>6.1999999999999998E-3</v>
      </c>
      <c r="G76" s="5">
        <v>7.9100000000000004E-3</v>
      </c>
      <c r="H76" s="5">
        <v>9.7300000000000008E-3</v>
      </c>
      <c r="I76" s="5">
        <v>1.1979999999999999E-2</v>
      </c>
      <c r="J76" s="5">
        <v>1.49E-2</v>
      </c>
      <c r="K76" s="5">
        <v>1.8280000000000001E-2</v>
      </c>
      <c r="L76" s="5">
        <v>2.1340000000000001E-2</v>
      </c>
      <c r="M76" s="5">
        <v>2.4930000000000001E-2</v>
      </c>
      <c r="N76" s="5">
        <v>2.887E-2</v>
      </c>
      <c r="O76" s="5">
        <v>3.363E-2</v>
      </c>
      <c r="P76" s="5">
        <v>4.0579999999999998E-2</v>
      </c>
      <c r="Q76" s="5">
        <v>4.8849999999999998E-2</v>
      </c>
      <c r="R76" s="5">
        <v>5.6730000000000003E-2</v>
      </c>
      <c r="S76" s="5">
        <v>6.4430000000000001E-2</v>
      </c>
      <c r="T76" s="5">
        <v>7.3249999999999996E-2</v>
      </c>
      <c r="U76" s="5">
        <v>8.3309999999999995E-2</v>
      </c>
      <c r="V76" s="5">
        <v>9.4390000000000002E-2</v>
      </c>
      <c r="W76" s="5">
        <v>0.10638</v>
      </c>
      <c r="X76" s="5">
        <v>0.11927</v>
      </c>
      <c r="Y76" s="5">
        <v>0.13319</v>
      </c>
      <c r="Z76" s="5">
        <v>0.14781</v>
      </c>
    </row>
    <row r="77" spans="1:26" x14ac:dyDescent="0.3">
      <c r="A77" s="5">
        <v>70</v>
      </c>
      <c r="B77" s="5">
        <v>1.65E-3</v>
      </c>
      <c r="C77" s="5">
        <v>2.5600000000000002E-3</v>
      </c>
      <c r="D77" s="5">
        <v>3.9199999999999999E-3</v>
      </c>
      <c r="E77" s="5">
        <v>5.1900000000000002E-3</v>
      </c>
      <c r="F77" s="5">
        <v>7.0099999999999997E-3</v>
      </c>
      <c r="G77" s="5">
        <v>8.8699999999999994E-3</v>
      </c>
      <c r="H77" s="5">
        <v>1.0959999999999999E-2</v>
      </c>
      <c r="I77" s="5">
        <v>1.3650000000000001E-2</v>
      </c>
      <c r="J77" s="5">
        <v>1.711E-2</v>
      </c>
      <c r="K77" s="5">
        <v>2.0990000000000002E-2</v>
      </c>
      <c r="L77" s="5">
        <v>2.4750000000000001E-2</v>
      </c>
      <c r="M77" s="5">
        <v>2.8570000000000002E-2</v>
      </c>
      <c r="N77" s="5">
        <v>3.3369999999999997E-2</v>
      </c>
      <c r="O77" s="5">
        <v>3.9750000000000001E-2</v>
      </c>
      <c r="P77" s="5">
        <v>4.811E-2</v>
      </c>
      <c r="Q77" s="5">
        <v>5.6730000000000003E-2</v>
      </c>
      <c r="R77" s="5">
        <v>6.4430000000000001E-2</v>
      </c>
      <c r="S77" s="5">
        <v>7.3249999999999996E-2</v>
      </c>
      <c r="T77" s="5">
        <v>8.3309999999999995E-2</v>
      </c>
      <c r="U77" s="5">
        <v>9.4390000000000002E-2</v>
      </c>
      <c r="V77" s="5">
        <v>0.10638</v>
      </c>
      <c r="W77" s="5">
        <v>0.11927</v>
      </c>
      <c r="X77" s="5">
        <v>0.13319</v>
      </c>
      <c r="Y77" s="5">
        <v>0.14781</v>
      </c>
      <c r="Z77" s="5">
        <v>0.16311999999999999</v>
      </c>
    </row>
    <row r="78" spans="1:26" x14ac:dyDescent="0.3">
      <c r="A78" s="5">
        <v>71</v>
      </c>
      <c r="B78" s="5">
        <v>1.83E-3</v>
      </c>
      <c r="C78" s="5">
        <v>2.7299999999999998E-3</v>
      </c>
      <c r="D78" s="5">
        <v>4.1700000000000001E-3</v>
      </c>
      <c r="E78" s="5">
        <v>5.8599999999999998E-3</v>
      </c>
      <c r="F78" s="5">
        <v>7.8799999999999999E-3</v>
      </c>
      <c r="G78" s="5">
        <v>9.8799999999999999E-3</v>
      </c>
      <c r="H78" s="5">
        <v>1.2279999999999999E-2</v>
      </c>
      <c r="I78" s="5">
        <v>1.5480000000000001E-2</v>
      </c>
      <c r="J78" s="5">
        <v>1.9560000000000001E-2</v>
      </c>
      <c r="K78" s="5">
        <v>2.4060000000000002E-2</v>
      </c>
      <c r="L78" s="5">
        <v>2.836E-2</v>
      </c>
      <c r="M78" s="5">
        <v>3.243E-2</v>
      </c>
      <c r="N78" s="5">
        <v>3.8539999999999998E-2</v>
      </c>
      <c r="O78" s="5">
        <v>4.6370000000000001E-2</v>
      </c>
      <c r="P78" s="5">
        <v>5.5620000000000003E-2</v>
      </c>
      <c r="Q78" s="5">
        <v>6.4430000000000001E-2</v>
      </c>
      <c r="R78" s="5">
        <v>7.3249999999999996E-2</v>
      </c>
      <c r="S78" s="5">
        <v>8.3309999999999995E-2</v>
      </c>
      <c r="T78" s="5">
        <v>9.4390000000000002E-2</v>
      </c>
      <c r="U78" s="5">
        <v>0.10638</v>
      </c>
      <c r="V78" s="5">
        <v>0.11927</v>
      </c>
      <c r="W78" s="5">
        <v>0.13319</v>
      </c>
      <c r="X78" s="5">
        <v>0.14781</v>
      </c>
      <c r="Y78" s="5">
        <v>0.16311999999999999</v>
      </c>
      <c r="Z78" s="5">
        <v>0.18074000000000001</v>
      </c>
    </row>
    <row r="79" spans="1:26" x14ac:dyDescent="0.3">
      <c r="A79" s="5">
        <v>72</v>
      </c>
      <c r="B79" s="5">
        <v>2.0300000000000001E-3</v>
      </c>
      <c r="C79" s="5">
        <v>2.9399999999999999E-3</v>
      </c>
      <c r="D79" s="5">
        <v>4.4999999999999997E-3</v>
      </c>
      <c r="E79" s="5">
        <v>6.6699999999999997E-3</v>
      </c>
      <c r="F79" s="5">
        <v>8.8000000000000005E-3</v>
      </c>
      <c r="G79" s="5">
        <v>1.093E-2</v>
      </c>
      <c r="H79" s="5">
        <v>1.3690000000000001E-2</v>
      </c>
      <c r="I79" s="5">
        <v>1.7469999999999999E-2</v>
      </c>
      <c r="J79" s="5">
        <v>2.232E-2</v>
      </c>
      <c r="K79" s="5">
        <v>2.75E-2</v>
      </c>
      <c r="L79" s="5">
        <v>3.2199999999999999E-2</v>
      </c>
      <c r="M79" s="5">
        <v>3.7150000000000002E-2</v>
      </c>
      <c r="N79" s="5">
        <v>4.4490000000000002E-2</v>
      </c>
      <c r="O79" s="5">
        <v>5.373E-2</v>
      </c>
      <c r="P79" s="5">
        <v>6.3930000000000001E-2</v>
      </c>
      <c r="Q79" s="5">
        <v>7.3249999999999996E-2</v>
      </c>
      <c r="R79" s="5">
        <v>8.3309999999999995E-2</v>
      </c>
      <c r="S79" s="5">
        <v>9.4390000000000002E-2</v>
      </c>
      <c r="T79" s="5">
        <v>0.10638</v>
      </c>
      <c r="U79" s="5">
        <v>0.11927</v>
      </c>
      <c r="V79" s="5">
        <v>0.13319</v>
      </c>
      <c r="W79" s="5">
        <v>0.14781</v>
      </c>
      <c r="X79" s="5">
        <v>0.16311999999999999</v>
      </c>
      <c r="Y79" s="5">
        <v>0.18074000000000001</v>
      </c>
      <c r="Z79" s="5">
        <v>0.20127</v>
      </c>
    </row>
    <row r="80" spans="1:26" x14ac:dyDescent="0.3">
      <c r="A80" s="5">
        <v>73</v>
      </c>
      <c r="B80" s="5">
        <v>2.3E-3</v>
      </c>
      <c r="C80" s="5">
        <v>3.2200000000000002E-3</v>
      </c>
      <c r="D80" s="5">
        <v>4.9300000000000004E-3</v>
      </c>
      <c r="E80" s="5">
        <v>7.5500000000000003E-3</v>
      </c>
      <c r="F80" s="5">
        <v>9.7400000000000004E-3</v>
      </c>
      <c r="G80" s="5">
        <v>1.205E-2</v>
      </c>
      <c r="H80" s="5">
        <v>1.5219999999999999E-2</v>
      </c>
      <c r="I80" s="5">
        <v>1.9720000000000001E-2</v>
      </c>
      <c r="J80" s="5">
        <v>2.545E-2</v>
      </c>
      <c r="K80" s="5">
        <v>3.1280000000000002E-2</v>
      </c>
      <c r="L80" s="5">
        <v>3.6400000000000002E-2</v>
      </c>
      <c r="M80" s="5">
        <v>4.2639999999999997E-2</v>
      </c>
      <c r="N80" s="5">
        <v>5.1279999999999999E-2</v>
      </c>
      <c r="O80" s="5">
        <v>6.191E-2</v>
      </c>
      <c r="P80" s="5">
        <v>7.3249999999999996E-2</v>
      </c>
      <c r="Q80" s="5">
        <v>8.3309999999999995E-2</v>
      </c>
      <c r="R80" s="5">
        <v>9.4390000000000002E-2</v>
      </c>
      <c r="S80" s="5">
        <v>0.10638</v>
      </c>
      <c r="T80" s="5">
        <v>0.11927</v>
      </c>
      <c r="U80" s="5">
        <v>0.13319</v>
      </c>
      <c r="V80" s="5">
        <v>0.14781</v>
      </c>
      <c r="W80" s="5">
        <v>0.16311999999999999</v>
      </c>
      <c r="X80" s="5">
        <v>0.18074000000000001</v>
      </c>
      <c r="Y80" s="5">
        <v>0.20127</v>
      </c>
      <c r="Z80" s="5">
        <v>0.22373999999999999</v>
      </c>
    </row>
    <row r="81" spans="1:26" x14ac:dyDescent="0.3">
      <c r="A81" s="5">
        <v>74</v>
      </c>
      <c r="B81" s="5">
        <v>2.64E-3</v>
      </c>
      <c r="C81" s="5">
        <v>3.5400000000000002E-3</v>
      </c>
      <c r="D81" s="5">
        <v>5.4900000000000001E-3</v>
      </c>
      <c r="E81" s="5">
        <v>8.4899999999999993E-3</v>
      </c>
      <c r="F81" s="5">
        <v>1.073E-2</v>
      </c>
      <c r="G81" s="5">
        <v>1.325E-2</v>
      </c>
      <c r="H81" s="5">
        <v>1.6959999999999999E-2</v>
      </c>
      <c r="I81" s="5">
        <v>2.231E-2</v>
      </c>
      <c r="J81" s="5">
        <v>2.896E-2</v>
      </c>
      <c r="K81" s="5">
        <v>3.5499999999999997E-2</v>
      </c>
      <c r="L81" s="5">
        <v>4.104E-2</v>
      </c>
      <c r="M81" s="5">
        <v>4.8500000000000001E-2</v>
      </c>
      <c r="N81" s="5">
        <v>5.8459999999999998E-2</v>
      </c>
      <c r="O81" s="5">
        <v>7.0809999999999998E-2</v>
      </c>
      <c r="P81" s="5">
        <v>8.3309999999999995E-2</v>
      </c>
      <c r="Q81" s="5">
        <v>9.4390000000000002E-2</v>
      </c>
      <c r="R81" s="5">
        <v>0.10638</v>
      </c>
      <c r="S81" s="5">
        <v>0.11927</v>
      </c>
      <c r="T81" s="5">
        <v>0.13319</v>
      </c>
      <c r="U81" s="5">
        <v>0.14781</v>
      </c>
      <c r="V81" s="5">
        <v>0.16311999999999999</v>
      </c>
      <c r="W81" s="5">
        <v>0.18074000000000001</v>
      </c>
      <c r="X81" s="5">
        <v>0.20127</v>
      </c>
      <c r="Y81" s="5">
        <v>0.22373999999999999</v>
      </c>
      <c r="Z81" s="5">
        <v>0.24801999999999999</v>
      </c>
    </row>
    <row r="82" spans="1:26" x14ac:dyDescent="0.3">
      <c r="A82" s="5">
        <v>75</v>
      </c>
      <c r="B82" s="5">
        <v>3.0400000000000002E-3</v>
      </c>
      <c r="C82" s="5">
        <v>3.9300000000000003E-3</v>
      </c>
      <c r="D82" s="5">
        <v>6.1900000000000002E-3</v>
      </c>
      <c r="E82" s="5">
        <v>9.4900000000000002E-3</v>
      </c>
      <c r="F82" s="5">
        <v>1.179E-2</v>
      </c>
      <c r="G82" s="5">
        <v>1.461E-2</v>
      </c>
      <c r="H82" s="5">
        <v>1.898E-2</v>
      </c>
      <c r="I82" s="5">
        <v>2.5260000000000001E-2</v>
      </c>
      <c r="J82" s="5">
        <v>3.2939999999999997E-2</v>
      </c>
      <c r="K82" s="5">
        <v>4.0210000000000003E-2</v>
      </c>
      <c r="L82" s="5">
        <v>4.6820000000000001E-2</v>
      </c>
      <c r="M82" s="5">
        <v>5.5890000000000002E-2</v>
      </c>
      <c r="N82" s="5">
        <v>6.7430000000000004E-2</v>
      </c>
      <c r="O82" s="5">
        <v>8.1089999999999995E-2</v>
      </c>
      <c r="P82" s="5">
        <v>9.4390000000000002E-2</v>
      </c>
      <c r="Q82" s="5">
        <v>0.10638</v>
      </c>
      <c r="R82" s="5">
        <v>0.11927</v>
      </c>
      <c r="S82" s="5">
        <v>0.13319</v>
      </c>
      <c r="T82" s="5">
        <v>0.14781</v>
      </c>
      <c r="U82" s="5">
        <v>0.16311999999999999</v>
      </c>
      <c r="V82" s="5">
        <v>0.18074000000000001</v>
      </c>
      <c r="W82" s="5">
        <v>0.20127</v>
      </c>
      <c r="X82" s="5">
        <v>0.22373999999999999</v>
      </c>
      <c r="Y82" s="5">
        <v>0.24801999999999999</v>
      </c>
      <c r="Z82" s="5">
        <v>0.27378999999999998</v>
      </c>
    </row>
    <row r="83" spans="1:26" x14ac:dyDescent="0.3">
      <c r="A83" s="5">
        <v>76</v>
      </c>
      <c r="B83" s="5">
        <v>3.46E-3</v>
      </c>
      <c r="C83" s="5">
        <v>4.4000000000000003E-3</v>
      </c>
      <c r="D83" s="5">
        <v>7.0600000000000003E-3</v>
      </c>
      <c r="E83" s="5">
        <v>1.057E-2</v>
      </c>
      <c r="F83" s="5">
        <v>1.2959999999999999E-2</v>
      </c>
      <c r="G83" s="5">
        <v>1.618E-2</v>
      </c>
      <c r="H83" s="5">
        <v>2.129E-2</v>
      </c>
      <c r="I83" s="5">
        <v>2.8660000000000001E-2</v>
      </c>
      <c r="J83" s="5">
        <v>3.7499999999999999E-2</v>
      </c>
      <c r="K83" s="5">
        <v>4.5499999999999999E-2</v>
      </c>
      <c r="L83" s="5">
        <v>5.4399999999999997E-2</v>
      </c>
      <c r="M83" s="5">
        <v>6.5339999999999995E-2</v>
      </c>
      <c r="N83" s="5">
        <v>7.8579999999999997E-2</v>
      </c>
      <c r="O83" s="5">
        <v>9.3359999999999999E-2</v>
      </c>
      <c r="P83" s="5">
        <v>0.10638</v>
      </c>
      <c r="Q83" s="5">
        <v>0.11927</v>
      </c>
      <c r="R83" s="5">
        <v>0.13319</v>
      </c>
      <c r="S83" s="5">
        <v>0.14781</v>
      </c>
      <c r="T83" s="5">
        <v>0.16311999999999999</v>
      </c>
      <c r="U83" s="5">
        <v>0.18074000000000001</v>
      </c>
      <c r="V83" s="5">
        <v>0.20127</v>
      </c>
      <c r="W83" s="5">
        <v>0.22373999999999999</v>
      </c>
      <c r="X83" s="5">
        <v>0.24801999999999999</v>
      </c>
      <c r="Y83" s="5">
        <v>0.27378999999999998</v>
      </c>
      <c r="Z83" s="5">
        <v>0.29920999999999998</v>
      </c>
    </row>
    <row r="84" spans="1:26" x14ac:dyDescent="0.3">
      <c r="A84" s="5">
        <v>77</v>
      </c>
      <c r="B84" s="5">
        <v>3.9199999999999999E-3</v>
      </c>
      <c r="C84" s="5">
        <v>4.9800000000000001E-3</v>
      </c>
      <c r="D84" s="5">
        <v>8.09E-3</v>
      </c>
      <c r="E84" s="5">
        <v>1.175E-2</v>
      </c>
      <c r="F84" s="5">
        <v>1.4290000000000001E-2</v>
      </c>
      <c r="G84" s="5">
        <v>1.7979999999999999E-2</v>
      </c>
      <c r="H84" s="5">
        <v>2.4E-2</v>
      </c>
      <c r="I84" s="5">
        <v>3.2649999999999998E-2</v>
      </c>
      <c r="J84" s="5">
        <v>4.2759999999999999E-2</v>
      </c>
      <c r="K84" s="5">
        <v>5.1889999999999999E-2</v>
      </c>
      <c r="L84" s="5">
        <v>6.3089999999999993E-2</v>
      </c>
      <c r="M84" s="5">
        <v>7.6079999999999995E-2</v>
      </c>
      <c r="N84" s="5">
        <v>9.1560000000000002E-2</v>
      </c>
      <c r="O84" s="5">
        <v>0.10638</v>
      </c>
      <c r="P84" s="5">
        <v>0.11927</v>
      </c>
      <c r="Q84" s="5">
        <v>0.13319</v>
      </c>
      <c r="R84" s="5">
        <v>0.14781</v>
      </c>
      <c r="S84" s="5">
        <v>0.16311999999999999</v>
      </c>
      <c r="T84" s="5">
        <v>0.18074000000000001</v>
      </c>
      <c r="U84" s="5">
        <v>0.20127</v>
      </c>
      <c r="V84" s="5">
        <v>0.22373999999999999</v>
      </c>
      <c r="W84" s="5">
        <v>0.24801999999999999</v>
      </c>
      <c r="X84" s="5">
        <v>0.27378999999999998</v>
      </c>
      <c r="Y84" s="5">
        <v>0.29920999999999998</v>
      </c>
      <c r="Z84" s="5">
        <v>0.32313999999999998</v>
      </c>
    </row>
    <row r="85" spans="1:26" x14ac:dyDescent="0.3">
      <c r="A85" s="5">
        <v>78</v>
      </c>
      <c r="B85" s="5">
        <v>4.3899999999999998E-3</v>
      </c>
      <c r="C85" s="5">
        <v>5.6899999999999997E-3</v>
      </c>
      <c r="D85" s="5">
        <v>9.3299999999999998E-3</v>
      </c>
      <c r="E85" s="5">
        <v>1.306E-2</v>
      </c>
      <c r="F85" s="5">
        <v>1.5769999999999999E-2</v>
      </c>
      <c r="G85" s="5">
        <v>2.01E-2</v>
      </c>
      <c r="H85" s="5">
        <v>2.726E-2</v>
      </c>
      <c r="I85" s="5">
        <v>3.7409999999999999E-2</v>
      </c>
      <c r="J85" s="5">
        <v>4.8829999999999998E-2</v>
      </c>
      <c r="K85" s="5">
        <v>6.021E-2</v>
      </c>
      <c r="L85" s="5">
        <v>7.3609999999999995E-2</v>
      </c>
      <c r="M85" s="5">
        <v>8.9260000000000006E-2</v>
      </c>
      <c r="N85" s="5">
        <v>0.10557999999999999</v>
      </c>
      <c r="O85" s="5">
        <v>0.11927</v>
      </c>
      <c r="P85" s="5">
        <v>0.13319</v>
      </c>
      <c r="Q85" s="5">
        <v>0.14781</v>
      </c>
      <c r="R85" s="5">
        <v>0.16311999999999999</v>
      </c>
      <c r="S85" s="5">
        <v>0.18074000000000001</v>
      </c>
      <c r="T85" s="5">
        <v>0.20127</v>
      </c>
      <c r="U85" s="5">
        <v>0.22373999999999999</v>
      </c>
      <c r="V85" s="5">
        <v>0.24801999999999999</v>
      </c>
      <c r="W85" s="5">
        <v>0.27378999999999998</v>
      </c>
      <c r="X85" s="5">
        <v>0.29920999999999998</v>
      </c>
      <c r="Y85" s="5">
        <v>0.32313999999999998</v>
      </c>
      <c r="Z85" s="5">
        <v>0.34698000000000001</v>
      </c>
    </row>
    <row r="86" spans="1:26" x14ac:dyDescent="0.3">
      <c r="A86" s="5">
        <v>79</v>
      </c>
      <c r="B86" s="5">
        <v>4.7200000000000002E-3</v>
      </c>
      <c r="C86" s="5">
        <v>6.5500000000000003E-3</v>
      </c>
      <c r="D86" s="5">
        <v>1.0800000000000001E-2</v>
      </c>
      <c r="E86" s="5">
        <v>1.448E-2</v>
      </c>
      <c r="F86" s="5">
        <v>1.7479999999999999E-2</v>
      </c>
      <c r="G86" s="5">
        <v>2.266E-2</v>
      </c>
      <c r="H86" s="5">
        <v>3.1230000000000001E-2</v>
      </c>
      <c r="I86" s="5">
        <v>4.3110000000000002E-2</v>
      </c>
      <c r="J86" s="5">
        <v>5.6520000000000001E-2</v>
      </c>
      <c r="K86" s="5">
        <v>7.0910000000000001E-2</v>
      </c>
      <c r="L86" s="5">
        <v>8.7010000000000004E-2</v>
      </c>
      <c r="M86" s="5">
        <v>0.1047</v>
      </c>
      <c r="N86" s="5">
        <v>0.11927</v>
      </c>
      <c r="O86" s="5">
        <v>0.13319</v>
      </c>
      <c r="P86" s="5">
        <v>0.14781</v>
      </c>
      <c r="Q86" s="5">
        <v>0.16311999999999999</v>
      </c>
      <c r="R86" s="5">
        <v>0.18074000000000001</v>
      </c>
      <c r="S86" s="5">
        <v>0.20127</v>
      </c>
      <c r="T86" s="5">
        <v>0.22373999999999999</v>
      </c>
      <c r="U86" s="5">
        <v>0.24801999999999999</v>
      </c>
      <c r="V86" s="5">
        <v>0.27378999999999998</v>
      </c>
      <c r="W86" s="5">
        <v>0.29920999999999998</v>
      </c>
      <c r="X86" s="5">
        <v>0.32313999999999998</v>
      </c>
      <c r="Y86" s="5">
        <v>0.34698000000000001</v>
      </c>
      <c r="Z86" s="5">
        <v>0.37036000000000002</v>
      </c>
    </row>
    <row r="87" spans="1:26" x14ac:dyDescent="0.3">
      <c r="A87" s="5">
        <v>80</v>
      </c>
      <c r="B87" s="5">
        <v>5.0200000000000002E-3</v>
      </c>
      <c r="C87" s="5">
        <v>7.5700000000000003E-3</v>
      </c>
      <c r="D87" s="5">
        <v>1.2460000000000001E-2</v>
      </c>
      <c r="E87" s="5">
        <v>1.602E-2</v>
      </c>
      <c r="F87" s="5">
        <v>1.949E-2</v>
      </c>
      <c r="G87" s="5">
        <v>2.5940000000000001E-2</v>
      </c>
      <c r="H87" s="5">
        <v>3.6119999999999999E-2</v>
      </c>
      <c r="I87" s="5">
        <v>5.0029999999999998E-2</v>
      </c>
      <c r="J87" s="5">
        <v>6.5710000000000005E-2</v>
      </c>
      <c r="K87" s="5">
        <v>8.2790000000000002E-2</v>
      </c>
      <c r="L87" s="5">
        <v>0.10196</v>
      </c>
      <c r="M87" s="5">
        <v>0.11927</v>
      </c>
      <c r="N87" s="5">
        <v>0.13319</v>
      </c>
      <c r="O87" s="5">
        <v>0.14781</v>
      </c>
      <c r="P87" s="5">
        <v>0.16311999999999999</v>
      </c>
      <c r="Q87" s="5">
        <v>0.18074000000000001</v>
      </c>
      <c r="R87" s="5">
        <v>0.20127</v>
      </c>
      <c r="S87" s="5">
        <v>0.22373999999999999</v>
      </c>
      <c r="T87" s="5">
        <v>0.24801999999999999</v>
      </c>
      <c r="U87" s="5">
        <v>0.27378999999999998</v>
      </c>
      <c r="V87" s="5">
        <v>0.29920999999999998</v>
      </c>
      <c r="W87" s="5">
        <v>0.32313999999999998</v>
      </c>
      <c r="X87" s="5">
        <v>0.34698000000000001</v>
      </c>
      <c r="Y87" s="5">
        <v>0.37036000000000002</v>
      </c>
      <c r="Z87" s="5">
        <v>0.39291999999999999</v>
      </c>
    </row>
    <row r="88" spans="1:26" x14ac:dyDescent="0.3">
      <c r="A88" s="5">
        <v>81</v>
      </c>
      <c r="B88" s="5">
        <v>5.5199999999999997E-3</v>
      </c>
      <c r="C88" s="5">
        <v>8.7500000000000008E-3</v>
      </c>
      <c r="D88" s="5">
        <v>1.43E-2</v>
      </c>
      <c r="E88" s="5">
        <v>1.772E-2</v>
      </c>
      <c r="F88" s="5">
        <v>2.249E-2</v>
      </c>
      <c r="G88" s="5">
        <v>3.04E-2</v>
      </c>
      <c r="H88" s="5">
        <v>4.224E-2</v>
      </c>
      <c r="I88" s="5">
        <v>5.8630000000000002E-2</v>
      </c>
      <c r="J88" s="5">
        <v>7.7179999999999999E-2</v>
      </c>
      <c r="K88" s="5">
        <v>9.7470000000000001E-2</v>
      </c>
      <c r="L88" s="5">
        <v>0.11774</v>
      </c>
      <c r="M88" s="5">
        <v>0.13319</v>
      </c>
      <c r="N88" s="5">
        <v>0.14781</v>
      </c>
      <c r="O88" s="5">
        <v>0.16311999999999999</v>
      </c>
      <c r="P88" s="5">
        <v>0.18074000000000001</v>
      </c>
      <c r="Q88" s="5">
        <v>0.20127</v>
      </c>
      <c r="R88" s="5">
        <v>0.22373999999999999</v>
      </c>
      <c r="S88" s="5">
        <v>0.24801999999999999</v>
      </c>
      <c r="T88" s="5">
        <v>0.27378999999999998</v>
      </c>
      <c r="U88" s="5">
        <v>0.29920999999999998</v>
      </c>
      <c r="V88" s="5">
        <v>0.32313999999999998</v>
      </c>
      <c r="W88" s="5">
        <v>0.34698000000000001</v>
      </c>
      <c r="X88" s="5">
        <v>0.37036000000000002</v>
      </c>
      <c r="Y88" s="5">
        <v>0.39291999999999999</v>
      </c>
      <c r="Z88" s="5">
        <v>0.4143</v>
      </c>
    </row>
    <row r="89" spans="1:26" x14ac:dyDescent="0.3">
      <c r="A89" s="5">
        <v>82</v>
      </c>
      <c r="B89" s="5">
        <v>6.2199999999999998E-3</v>
      </c>
      <c r="C89" s="5">
        <v>1.0120000000000001E-2</v>
      </c>
      <c r="D89" s="5">
        <v>1.6459999999999999E-2</v>
      </c>
      <c r="E89" s="5">
        <v>2.053E-2</v>
      </c>
      <c r="F89" s="5">
        <v>2.6669999999999999E-2</v>
      </c>
      <c r="G89" s="5">
        <v>3.6049999999999999E-2</v>
      </c>
      <c r="H89" s="5">
        <v>5.0479999999999997E-2</v>
      </c>
      <c r="I89" s="5">
        <v>7.0699999999999999E-2</v>
      </c>
      <c r="J89" s="5">
        <v>9.3700000000000006E-2</v>
      </c>
      <c r="K89" s="5">
        <v>0.11608</v>
      </c>
      <c r="L89" s="5">
        <v>0.13319</v>
      </c>
      <c r="M89" s="5">
        <v>0.14781</v>
      </c>
      <c r="N89" s="5">
        <v>0.16311999999999999</v>
      </c>
      <c r="O89" s="5">
        <v>0.18074000000000001</v>
      </c>
      <c r="P89" s="5">
        <v>0.20127</v>
      </c>
      <c r="Q89" s="5">
        <v>0.22373999999999999</v>
      </c>
      <c r="R89" s="5">
        <v>0.24801999999999999</v>
      </c>
      <c r="S89" s="5">
        <v>0.27378999999999998</v>
      </c>
      <c r="T89" s="5">
        <v>0.29920999999999998</v>
      </c>
      <c r="U89" s="5">
        <v>0.32313999999999998</v>
      </c>
      <c r="V89" s="5">
        <v>0.34698000000000001</v>
      </c>
      <c r="W89" s="5">
        <v>0.37036000000000002</v>
      </c>
      <c r="X89" s="5">
        <v>0.39291999999999999</v>
      </c>
      <c r="Y89" s="5">
        <v>0.4143</v>
      </c>
      <c r="Z89" s="5">
        <v>0.43413000000000002</v>
      </c>
    </row>
    <row r="90" spans="1:26" x14ac:dyDescent="0.3">
      <c r="A90" s="5">
        <v>83</v>
      </c>
      <c r="B90" s="5">
        <v>7.2100000000000003E-3</v>
      </c>
      <c r="C90" s="5">
        <v>1.17E-2</v>
      </c>
      <c r="D90" s="5">
        <v>1.9040000000000001E-2</v>
      </c>
      <c r="E90" s="5">
        <v>2.4760000000000001E-2</v>
      </c>
      <c r="F90" s="5">
        <v>3.1919999999999997E-2</v>
      </c>
      <c r="G90" s="5">
        <v>4.3299999999999998E-2</v>
      </c>
      <c r="H90" s="5">
        <v>6.3200000000000006E-2</v>
      </c>
      <c r="I90" s="5">
        <v>8.8669999999999999E-2</v>
      </c>
      <c r="J90" s="5">
        <v>0.11459999999999999</v>
      </c>
      <c r="K90" s="5">
        <v>0.13319</v>
      </c>
      <c r="L90" s="5">
        <v>0.14781</v>
      </c>
      <c r="M90" s="5">
        <v>0.16311999999999999</v>
      </c>
      <c r="N90" s="5">
        <v>0.18074000000000001</v>
      </c>
      <c r="O90" s="5">
        <v>0.20127</v>
      </c>
      <c r="P90" s="5">
        <v>0.22373999999999999</v>
      </c>
      <c r="Q90" s="5">
        <v>0.24801999999999999</v>
      </c>
      <c r="R90" s="5">
        <v>0.27378999999999998</v>
      </c>
      <c r="S90" s="5">
        <v>0.29920999999999998</v>
      </c>
      <c r="T90" s="5">
        <v>0.32313999999999998</v>
      </c>
      <c r="U90" s="5">
        <v>0.34698000000000001</v>
      </c>
      <c r="V90" s="5">
        <v>0.37036000000000002</v>
      </c>
      <c r="W90" s="5">
        <v>0.39291999999999999</v>
      </c>
      <c r="X90" s="5">
        <v>0.4143</v>
      </c>
      <c r="Y90" s="5">
        <v>0.43413000000000002</v>
      </c>
      <c r="Z90" s="5">
        <v>0.45205000000000001</v>
      </c>
    </row>
    <row r="91" spans="1:26" x14ac:dyDescent="0.3">
      <c r="A91" s="5">
        <v>84</v>
      </c>
      <c r="B91" s="5">
        <v>8.3199999999999993E-3</v>
      </c>
      <c r="C91" s="5">
        <v>1.3639999999999999E-2</v>
      </c>
      <c r="D91" s="5">
        <v>2.2509999999999999E-2</v>
      </c>
      <c r="E91" s="5">
        <v>2.9860000000000001E-2</v>
      </c>
      <c r="F91" s="5">
        <v>3.8510000000000003E-2</v>
      </c>
      <c r="G91" s="5">
        <v>5.373E-2</v>
      </c>
      <c r="H91" s="5">
        <v>8.0839999999999995E-2</v>
      </c>
      <c r="I91" s="5">
        <v>0.10901</v>
      </c>
      <c r="J91" s="5">
        <v>0.13319</v>
      </c>
      <c r="K91" s="5">
        <v>0.14781</v>
      </c>
      <c r="L91" s="5">
        <v>0.16311999999999999</v>
      </c>
      <c r="M91" s="5">
        <v>0.18074000000000001</v>
      </c>
      <c r="N91" s="5">
        <v>0.20127</v>
      </c>
      <c r="O91" s="5">
        <v>0.22373999999999999</v>
      </c>
      <c r="P91" s="5">
        <v>0.24801999999999999</v>
      </c>
      <c r="Q91" s="5">
        <v>0.27378999999999998</v>
      </c>
      <c r="R91" s="5">
        <v>0.29920999999999998</v>
      </c>
      <c r="S91" s="5">
        <v>0.32313999999999998</v>
      </c>
      <c r="T91" s="5">
        <v>0.34698000000000001</v>
      </c>
      <c r="U91" s="5">
        <v>0.37036000000000002</v>
      </c>
      <c r="V91" s="5">
        <v>0.39291999999999999</v>
      </c>
      <c r="W91" s="5">
        <v>0.4143</v>
      </c>
      <c r="X91" s="5">
        <v>0.43413000000000002</v>
      </c>
      <c r="Y91" s="5">
        <v>0.45205000000000001</v>
      </c>
      <c r="Z91" s="5">
        <v>0.46768999999999999</v>
      </c>
    </row>
    <row r="92" spans="1:26" x14ac:dyDescent="0.3">
      <c r="A92" s="5">
        <v>85</v>
      </c>
      <c r="B92" s="5">
        <v>9.3299999999999998E-3</v>
      </c>
      <c r="C92" s="5">
        <v>1.6250000000000001E-2</v>
      </c>
      <c r="D92" s="5">
        <v>2.7150000000000001E-2</v>
      </c>
      <c r="E92" s="5">
        <v>3.6020000000000003E-2</v>
      </c>
      <c r="F92" s="5">
        <v>4.7489999999999997E-2</v>
      </c>
      <c r="G92" s="5">
        <v>7.1169999999999997E-2</v>
      </c>
      <c r="H92" s="5">
        <v>0.10108</v>
      </c>
      <c r="I92" s="5">
        <v>0.12933</v>
      </c>
      <c r="J92" s="5">
        <v>0.14781</v>
      </c>
      <c r="K92" s="5">
        <v>0.16311999999999999</v>
      </c>
      <c r="L92" s="5">
        <v>0.18074000000000001</v>
      </c>
      <c r="M92" s="5">
        <v>0.20127</v>
      </c>
      <c r="N92" s="5">
        <v>0.22373999999999999</v>
      </c>
      <c r="O92" s="5">
        <v>0.24801999999999999</v>
      </c>
      <c r="P92" s="5">
        <v>0.27378999999999998</v>
      </c>
      <c r="Q92" s="5">
        <v>0.29920999999999998</v>
      </c>
      <c r="R92" s="5">
        <v>0.32313999999999998</v>
      </c>
      <c r="S92" s="5">
        <v>0.34698000000000001</v>
      </c>
      <c r="T92" s="5">
        <v>0.37036000000000002</v>
      </c>
      <c r="U92" s="5">
        <v>0.39291999999999999</v>
      </c>
      <c r="V92" s="5">
        <v>0.4143</v>
      </c>
      <c r="W92" s="5">
        <v>0.43413000000000002</v>
      </c>
      <c r="X92" s="5">
        <v>0.45205000000000001</v>
      </c>
      <c r="Y92" s="5">
        <v>0.46768999999999999</v>
      </c>
      <c r="Z92" s="5">
        <v>0.48068</v>
      </c>
    </row>
    <row r="93" spans="1:26" x14ac:dyDescent="0.3">
      <c r="A93" s="5">
        <v>86</v>
      </c>
      <c r="B93" s="5">
        <v>1.031E-2</v>
      </c>
      <c r="C93" s="5">
        <v>1.9599999999999999E-2</v>
      </c>
      <c r="D93" s="5">
        <v>3.2750000000000001E-2</v>
      </c>
      <c r="E93" s="5">
        <v>4.3450000000000003E-2</v>
      </c>
      <c r="F93" s="5">
        <v>6.1899999999999997E-2</v>
      </c>
      <c r="G93" s="5">
        <v>9.5089999999999994E-2</v>
      </c>
      <c r="H93" s="5">
        <v>0.12570999999999999</v>
      </c>
      <c r="I93" s="5">
        <v>0.14781</v>
      </c>
      <c r="J93" s="5">
        <v>0.16311999999999999</v>
      </c>
      <c r="K93" s="5">
        <v>0.18074000000000001</v>
      </c>
      <c r="L93" s="5">
        <v>0.20127</v>
      </c>
      <c r="M93" s="5">
        <v>0.22373999999999999</v>
      </c>
      <c r="N93" s="5">
        <v>0.24801999999999999</v>
      </c>
      <c r="O93" s="5">
        <v>0.27378999999999998</v>
      </c>
      <c r="P93" s="5">
        <v>0.29920999999999998</v>
      </c>
      <c r="Q93" s="5">
        <v>0.32313999999999998</v>
      </c>
      <c r="R93" s="5">
        <v>0.34698000000000001</v>
      </c>
      <c r="S93" s="5">
        <v>0.37036000000000002</v>
      </c>
      <c r="T93" s="5">
        <v>0.39291999999999999</v>
      </c>
      <c r="U93" s="5">
        <v>0.4143</v>
      </c>
      <c r="V93" s="5">
        <v>0.43413000000000002</v>
      </c>
      <c r="W93" s="5">
        <v>0.45205000000000001</v>
      </c>
      <c r="X93" s="5">
        <v>0.46768999999999999</v>
      </c>
      <c r="Y93" s="5">
        <v>0.48068</v>
      </c>
      <c r="Z93" s="5">
        <v>0.49064999999999998</v>
      </c>
    </row>
    <row r="94" spans="1:26" x14ac:dyDescent="0.3">
      <c r="A94" s="5">
        <v>87</v>
      </c>
      <c r="B94" s="5">
        <v>1.14E-2</v>
      </c>
      <c r="C94" s="5">
        <v>2.3650000000000001E-2</v>
      </c>
      <c r="D94" s="5">
        <v>3.9510000000000003E-2</v>
      </c>
      <c r="E94" s="5">
        <v>5.4829999999999997E-2</v>
      </c>
      <c r="F94" s="5">
        <v>8.5070000000000007E-2</v>
      </c>
      <c r="G94" s="5">
        <v>0.12376</v>
      </c>
      <c r="H94" s="5">
        <v>0.14781</v>
      </c>
      <c r="I94" s="5">
        <v>0.16311999999999999</v>
      </c>
      <c r="J94" s="5">
        <v>0.18074000000000001</v>
      </c>
      <c r="K94" s="5">
        <v>0.20127</v>
      </c>
      <c r="L94" s="5">
        <v>0.22373999999999999</v>
      </c>
      <c r="M94" s="5">
        <v>0.24801999999999999</v>
      </c>
      <c r="N94" s="5">
        <v>0.27378999999999998</v>
      </c>
      <c r="O94" s="5">
        <v>0.29920999999999998</v>
      </c>
      <c r="P94" s="5">
        <v>0.32313999999999998</v>
      </c>
      <c r="Q94" s="5">
        <v>0.34698000000000001</v>
      </c>
      <c r="R94" s="5">
        <v>0.37036000000000002</v>
      </c>
      <c r="S94" s="5">
        <v>0.39291999999999999</v>
      </c>
      <c r="T94" s="5">
        <v>0.4143</v>
      </c>
      <c r="U94" s="5">
        <v>0.43413000000000002</v>
      </c>
      <c r="V94" s="5">
        <v>0.45205000000000001</v>
      </c>
      <c r="W94" s="5">
        <v>0.46768999999999999</v>
      </c>
      <c r="X94" s="5">
        <v>0.48068</v>
      </c>
      <c r="Y94" s="5">
        <v>0.49064999999999998</v>
      </c>
      <c r="Z94" s="5">
        <v>0.49723000000000001</v>
      </c>
    </row>
    <row r="95" spans="1:26" x14ac:dyDescent="0.3">
      <c r="A95" s="5">
        <v>88</v>
      </c>
      <c r="B95" s="5">
        <v>1.2619999999999999E-2</v>
      </c>
      <c r="C95" s="5">
        <v>2.828E-2</v>
      </c>
      <c r="D95" s="5">
        <v>4.7640000000000002E-2</v>
      </c>
      <c r="E95" s="5">
        <v>7.238E-2</v>
      </c>
      <c r="F95" s="5">
        <v>0.11448</v>
      </c>
      <c r="G95" s="5">
        <v>0.14781</v>
      </c>
      <c r="H95" s="5">
        <v>0.16311999999999999</v>
      </c>
      <c r="I95" s="5">
        <v>0.18074000000000001</v>
      </c>
      <c r="J95" s="5">
        <v>0.20127</v>
      </c>
      <c r="K95" s="5">
        <v>0.22373999999999999</v>
      </c>
      <c r="L95" s="5">
        <v>0.24801999999999999</v>
      </c>
      <c r="M95" s="5">
        <v>0.27378999999999998</v>
      </c>
      <c r="N95" s="5">
        <v>0.29920999999999998</v>
      </c>
      <c r="O95" s="5">
        <v>0.32313999999999998</v>
      </c>
      <c r="P95" s="5">
        <v>0.34698000000000001</v>
      </c>
      <c r="Q95" s="5">
        <v>0.37036000000000002</v>
      </c>
      <c r="R95" s="5">
        <v>0.39291999999999999</v>
      </c>
      <c r="S95" s="5">
        <v>0.4143</v>
      </c>
      <c r="T95" s="5">
        <v>0.43413000000000002</v>
      </c>
      <c r="U95" s="5">
        <v>0.45205000000000001</v>
      </c>
      <c r="V95" s="5">
        <v>0.46768999999999999</v>
      </c>
      <c r="W95" s="5">
        <v>0.48068</v>
      </c>
      <c r="X95" s="5">
        <v>0.49064999999999998</v>
      </c>
      <c r="Y95" s="5">
        <v>0.49723000000000001</v>
      </c>
      <c r="Z95" s="5">
        <v>0.5</v>
      </c>
    </row>
    <row r="96" spans="1:26" x14ac:dyDescent="0.3">
      <c r="A96" s="5">
        <v>89</v>
      </c>
      <c r="B96" s="5">
        <v>1.3950000000000001E-2</v>
      </c>
      <c r="C96" s="5">
        <v>3.3529999999999997E-2</v>
      </c>
      <c r="D96" s="5">
        <v>6.019E-2</v>
      </c>
      <c r="E96" s="5">
        <v>9.8089999999999997E-2</v>
      </c>
      <c r="F96" s="5">
        <v>0.14233999999999999</v>
      </c>
      <c r="G96" s="5">
        <v>0.16311999999999999</v>
      </c>
      <c r="H96" s="5">
        <v>0.18074000000000001</v>
      </c>
      <c r="I96" s="5">
        <v>0.20127</v>
      </c>
      <c r="J96" s="5">
        <v>0.22373999999999999</v>
      </c>
      <c r="K96" s="5">
        <v>0.24801999999999999</v>
      </c>
      <c r="L96" s="5">
        <v>0.27378999999999998</v>
      </c>
      <c r="M96" s="5">
        <v>0.29920999999999998</v>
      </c>
      <c r="N96" s="5">
        <v>0.32313999999999998</v>
      </c>
      <c r="O96" s="5">
        <v>0.34698000000000001</v>
      </c>
      <c r="P96" s="5">
        <v>0.37036000000000002</v>
      </c>
      <c r="Q96" s="5">
        <v>0.39291999999999999</v>
      </c>
      <c r="R96" s="5">
        <v>0.4143</v>
      </c>
      <c r="S96" s="5">
        <v>0.43413000000000002</v>
      </c>
      <c r="T96" s="5">
        <v>0.45205000000000001</v>
      </c>
      <c r="U96" s="5">
        <v>0.46768999999999999</v>
      </c>
      <c r="V96" s="5">
        <v>0.48068</v>
      </c>
      <c r="W96" s="5">
        <v>0.49064999999999998</v>
      </c>
      <c r="X96" s="5">
        <v>0.49723000000000001</v>
      </c>
      <c r="Y96" s="5">
        <v>0.5</v>
      </c>
      <c r="Z96" s="5">
        <v>0.5</v>
      </c>
    </row>
    <row r="97" spans="1:26" x14ac:dyDescent="0.3">
      <c r="A97" s="5">
        <v>90</v>
      </c>
      <c r="B97" s="5">
        <v>1.669E-2</v>
      </c>
      <c r="C97" s="5">
        <v>4.2090000000000002E-2</v>
      </c>
      <c r="D97" s="5">
        <v>8.652E-2</v>
      </c>
      <c r="E97" s="5">
        <v>0.13389000000000001</v>
      </c>
      <c r="F97" s="5">
        <v>0.16311999999999999</v>
      </c>
      <c r="G97" s="5">
        <v>0.18074000000000001</v>
      </c>
      <c r="H97" s="5">
        <v>0.20127</v>
      </c>
      <c r="I97" s="5">
        <v>0.22373999999999999</v>
      </c>
      <c r="J97" s="5">
        <v>0.24801999999999999</v>
      </c>
      <c r="K97" s="5">
        <v>0.27378999999999998</v>
      </c>
      <c r="L97" s="5">
        <v>0.29920999999999998</v>
      </c>
      <c r="M97" s="5">
        <v>0.32313999999999998</v>
      </c>
      <c r="N97" s="5">
        <v>0.34698000000000001</v>
      </c>
      <c r="O97" s="5">
        <v>0.37036000000000002</v>
      </c>
      <c r="P97" s="5">
        <v>0.39291999999999999</v>
      </c>
      <c r="Q97" s="5">
        <v>0.4143</v>
      </c>
      <c r="R97" s="5">
        <v>0.43413000000000002</v>
      </c>
      <c r="S97" s="5">
        <v>0.45205000000000001</v>
      </c>
      <c r="T97" s="5">
        <v>0.46768999999999999</v>
      </c>
      <c r="U97" s="5">
        <v>0.48068</v>
      </c>
      <c r="V97" s="5">
        <v>0.49064999999999998</v>
      </c>
      <c r="W97" s="5">
        <v>0.49723000000000001</v>
      </c>
      <c r="X97" s="5">
        <v>0.5</v>
      </c>
      <c r="Y97" s="5">
        <v>0.5</v>
      </c>
      <c r="Z97" s="5">
        <v>0.5</v>
      </c>
    </row>
    <row r="98" spans="1:26" x14ac:dyDescent="0.3">
      <c r="A98" s="5">
        <v>91</v>
      </c>
      <c r="B98" s="5">
        <v>2.298E-2</v>
      </c>
      <c r="C98" s="5">
        <v>6.053E-2</v>
      </c>
      <c r="D98" s="5">
        <v>0.12936</v>
      </c>
      <c r="E98" s="5">
        <v>0.16311999999999999</v>
      </c>
      <c r="F98" s="5">
        <v>0.18074000000000001</v>
      </c>
      <c r="G98" s="5">
        <v>0.20127</v>
      </c>
      <c r="H98" s="5">
        <v>0.22373999999999999</v>
      </c>
      <c r="I98" s="5">
        <v>0.24801999999999999</v>
      </c>
      <c r="J98" s="5">
        <v>0.27378999999999998</v>
      </c>
      <c r="K98" s="5">
        <v>0.29920999999999998</v>
      </c>
      <c r="L98" s="5">
        <v>0.32313999999999998</v>
      </c>
      <c r="M98" s="5">
        <v>0.34698000000000001</v>
      </c>
      <c r="N98" s="5">
        <v>0.37036000000000002</v>
      </c>
      <c r="O98" s="5">
        <v>0.39291999999999999</v>
      </c>
      <c r="P98" s="5">
        <v>0.4143</v>
      </c>
      <c r="Q98" s="5">
        <v>0.43413000000000002</v>
      </c>
      <c r="R98" s="5">
        <v>0.45205000000000001</v>
      </c>
      <c r="S98" s="5">
        <v>0.46768999999999999</v>
      </c>
      <c r="T98" s="5">
        <v>0.48068</v>
      </c>
      <c r="U98" s="5">
        <v>0.49064999999999998</v>
      </c>
      <c r="V98" s="5">
        <v>0.49723000000000001</v>
      </c>
      <c r="W98" s="5">
        <v>0.5</v>
      </c>
      <c r="X98" s="5">
        <v>0.5</v>
      </c>
      <c r="Y98" s="5">
        <v>0.5</v>
      </c>
      <c r="Z98" s="5">
        <v>0.5</v>
      </c>
    </row>
    <row r="99" spans="1:26" x14ac:dyDescent="0.3">
      <c r="A99" s="5">
        <v>92</v>
      </c>
      <c r="B99" s="5">
        <v>3.4410000000000003E-2</v>
      </c>
      <c r="C99" s="5">
        <v>9.0929999999999997E-2</v>
      </c>
      <c r="D99" s="5">
        <v>0.16311999999999999</v>
      </c>
      <c r="E99" s="5">
        <v>0.18074000000000001</v>
      </c>
      <c r="F99" s="5">
        <v>0.20127</v>
      </c>
      <c r="G99" s="5">
        <v>0.22373999999999999</v>
      </c>
      <c r="H99" s="5">
        <v>0.24801999999999999</v>
      </c>
      <c r="I99" s="5">
        <v>0.27378999999999998</v>
      </c>
      <c r="J99" s="5">
        <v>0.29920999999999998</v>
      </c>
      <c r="K99" s="5">
        <v>0.32313999999999998</v>
      </c>
      <c r="L99" s="5">
        <v>0.34698000000000001</v>
      </c>
      <c r="M99" s="5">
        <v>0.37036000000000002</v>
      </c>
      <c r="N99" s="5">
        <v>0.39291999999999999</v>
      </c>
      <c r="O99" s="5">
        <v>0.4143</v>
      </c>
      <c r="P99" s="5">
        <v>0.43413000000000002</v>
      </c>
      <c r="Q99" s="5">
        <v>0.45205000000000001</v>
      </c>
      <c r="R99" s="5">
        <v>0.46768999999999999</v>
      </c>
      <c r="S99" s="5">
        <v>0.48068</v>
      </c>
      <c r="T99" s="5">
        <v>0.49064999999999998</v>
      </c>
      <c r="U99" s="5">
        <v>0.49723000000000001</v>
      </c>
      <c r="V99" s="5">
        <v>0.5</v>
      </c>
      <c r="W99" s="5">
        <v>0.5</v>
      </c>
      <c r="X99" s="5">
        <v>0.5</v>
      </c>
      <c r="Y99" s="5">
        <v>0.5</v>
      </c>
      <c r="Z99" s="5">
        <v>0.5</v>
      </c>
    </row>
    <row r="100" spans="1:26" x14ac:dyDescent="0.3">
      <c r="A100" s="5">
        <v>93</v>
      </c>
      <c r="B100" s="5">
        <v>5.2249999999999998E-2</v>
      </c>
      <c r="C100" s="5">
        <v>0.12048</v>
      </c>
      <c r="D100" s="5">
        <v>0.18074000000000001</v>
      </c>
      <c r="E100" s="5">
        <v>0.20127</v>
      </c>
      <c r="F100" s="5">
        <v>0.22373999999999999</v>
      </c>
      <c r="G100" s="5">
        <v>0.24801999999999999</v>
      </c>
      <c r="H100" s="5">
        <v>0.27378999999999998</v>
      </c>
      <c r="I100" s="5">
        <v>0.29920999999999998</v>
      </c>
      <c r="J100" s="5">
        <v>0.32313999999999998</v>
      </c>
      <c r="K100" s="5">
        <v>0.34698000000000001</v>
      </c>
      <c r="L100" s="5">
        <v>0.37036000000000002</v>
      </c>
      <c r="M100" s="5">
        <v>0.39291999999999999</v>
      </c>
      <c r="N100" s="5">
        <v>0.4143</v>
      </c>
      <c r="O100" s="5">
        <v>0.43413000000000002</v>
      </c>
      <c r="P100" s="5">
        <v>0.45205000000000001</v>
      </c>
      <c r="Q100" s="5">
        <v>0.46768999999999999</v>
      </c>
      <c r="R100" s="5">
        <v>0.48068</v>
      </c>
      <c r="S100" s="5">
        <v>0.49064999999999998</v>
      </c>
      <c r="T100" s="5">
        <v>0.49723000000000001</v>
      </c>
      <c r="U100" s="5">
        <v>0.5</v>
      </c>
      <c r="V100" s="5">
        <v>0.5</v>
      </c>
      <c r="W100" s="5">
        <v>0.5</v>
      </c>
      <c r="X100" s="5">
        <v>0.5</v>
      </c>
      <c r="Y100" s="5">
        <v>0.5</v>
      </c>
      <c r="Z100" s="5">
        <v>0.5</v>
      </c>
    </row>
    <row r="101" spans="1:26" x14ac:dyDescent="0.3">
      <c r="A101" s="5">
        <v>94</v>
      </c>
      <c r="B101" s="5">
        <v>7.8020000000000006E-2</v>
      </c>
      <c r="C101" s="5">
        <v>0.16008</v>
      </c>
      <c r="D101" s="5">
        <v>0.20127</v>
      </c>
      <c r="E101" s="5">
        <v>0.22373999999999999</v>
      </c>
      <c r="F101" s="5">
        <v>0.24801999999999999</v>
      </c>
      <c r="G101" s="5">
        <v>0.27378999999999998</v>
      </c>
      <c r="H101" s="5">
        <v>0.29920999999999998</v>
      </c>
      <c r="I101" s="5">
        <v>0.32313999999999998</v>
      </c>
      <c r="J101" s="5">
        <v>0.34698000000000001</v>
      </c>
      <c r="K101" s="5">
        <v>0.37036000000000002</v>
      </c>
      <c r="L101" s="5">
        <v>0.39291999999999999</v>
      </c>
      <c r="M101" s="5">
        <v>0.4143</v>
      </c>
      <c r="N101" s="5">
        <v>0.43413000000000002</v>
      </c>
      <c r="O101" s="5">
        <v>0.45205000000000001</v>
      </c>
      <c r="P101" s="5">
        <v>0.46768999999999999</v>
      </c>
      <c r="Q101" s="5">
        <v>0.48068</v>
      </c>
      <c r="R101" s="5">
        <v>0.49064999999999998</v>
      </c>
      <c r="S101" s="5">
        <v>0.49723000000000001</v>
      </c>
      <c r="T101" s="5">
        <v>0.5</v>
      </c>
      <c r="U101" s="5">
        <v>0.5</v>
      </c>
      <c r="V101" s="5">
        <v>0.5</v>
      </c>
      <c r="W101" s="5">
        <v>0.5</v>
      </c>
      <c r="X101" s="5">
        <v>0.5</v>
      </c>
      <c r="Y101" s="5">
        <v>0.5</v>
      </c>
      <c r="Z101" s="5">
        <v>0.5</v>
      </c>
    </row>
    <row r="102" spans="1:26" x14ac:dyDescent="0.3">
      <c r="A102" s="5">
        <v>95</v>
      </c>
      <c r="B102" s="5">
        <v>0.11348999999999999</v>
      </c>
      <c r="C102" s="5">
        <v>0.20127</v>
      </c>
      <c r="D102" s="5">
        <v>0.22373999999999999</v>
      </c>
      <c r="E102" s="5">
        <v>0.24801999999999999</v>
      </c>
      <c r="F102" s="5">
        <v>0.27378999999999998</v>
      </c>
      <c r="G102" s="5">
        <v>0.29920999999999998</v>
      </c>
      <c r="H102" s="5">
        <v>0.32313999999999998</v>
      </c>
      <c r="I102" s="5">
        <v>0.34698000000000001</v>
      </c>
      <c r="J102" s="5">
        <v>0.37036000000000002</v>
      </c>
      <c r="K102" s="5">
        <v>0.39291999999999999</v>
      </c>
      <c r="L102" s="5">
        <v>0.4143</v>
      </c>
      <c r="M102" s="5">
        <v>0.43413000000000002</v>
      </c>
      <c r="N102" s="5">
        <v>0.45205000000000001</v>
      </c>
      <c r="O102" s="5">
        <v>0.46768999999999999</v>
      </c>
      <c r="P102" s="5">
        <v>0.48068</v>
      </c>
      <c r="Q102" s="5">
        <v>0.49064999999999998</v>
      </c>
      <c r="R102" s="5">
        <v>0.49723000000000001</v>
      </c>
      <c r="S102" s="5">
        <v>0.5</v>
      </c>
      <c r="T102" s="5">
        <v>0.5</v>
      </c>
      <c r="U102" s="5">
        <v>0.5</v>
      </c>
      <c r="V102" s="5">
        <v>0.5</v>
      </c>
      <c r="W102" s="5">
        <v>0.5</v>
      </c>
      <c r="X102" s="5">
        <v>0.5</v>
      </c>
      <c r="Y102" s="5">
        <v>0.5</v>
      </c>
      <c r="Z102" s="5">
        <v>0.5</v>
      </c>
    </row>
    <row r="104" spans="1:26" x14ac:dyDescent="0.3">
      <c r="A104" s="5" t="s">
        <v>32</v>
      </c>
      <c r="B104" s="5" t="s">
        <v>52</v>
      </c>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x14ac:dyDescent="0.3">
      <c r="A105" s="5" t="s">
        <v>24</v>
      </c>
      <c r="B105" s="5" t="s">
        <v>473</v>
      </c>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x14ac:dyDescent="0.3">
      <c r="A106" s="5" t="s">
        <v>34</v>
      </c>
      <c r="B106" s="5" t="s">
        <v>35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x14ac:dyDescent="0.3">
      <c r="A107" s="5" t="s">
        <v>36</v>
      </c>
      <c r="B107" s="5" t="s">
        <v>37</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x14ac:dyDescent="0.3">
      <c r="A108" s="5" t="s">
        <v>38</v>
      </c>
      <c r="B108" s="5" t="s">
        <v>39</v>
      </c>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x14ac:dyDescent="0.3">
      <c r="A109" s="5" t="s">
        <v>40</v>
      </c>
      <c r="B109" s="5" t="s">
        <v>4</v>
      </c>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x14ac:dyDescent="0.3">
      <c r="A110" s="5" t="s">
        <v>42</v>
      </c>
      <c r="B110" s="5" t="s">
        <v>4</v>
      </c>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x14ac:dyDescent="0.3">
      <c r="A111" s="5" t="s">
        <v>44</v>
      </c>
      <c r="B111" s="5" t="s">
        <v>4</v>
      </c>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x14ac:dyDescent="0.3">
      <c r="A112" s="5" t="s">
        <v>45</v>
      </c>
      <c r="B112" s="5" t="s">
        <v>46</v>
      </c>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 x14ac:dyDescent="0.3">
      <c r="A113" s="5" t="s">
        <v>47</v>
      </c>
      <c r="B113" s="5" t="s">
        <v>270</v>
      </c>
    </row>
    <row r="114" spans="1:2" x14ac:dyDescent="0.3">
      <c r="A114" s="5" t="s">
        <v>50</v>
      </c>
      <c r="B114" s="5" t="s">
        <v>33</v>
      </c>
    </row>
    <row r="116" spans="1:2" x14ac:dyDescent="0.3">
      <c r="A116" s="5" t="s">
        <v>51</v>
      </c>
      <c r="B116" s="5" t="s">
        <v>33</v>
      </c>
    </row>
    <row r="117" spans="1:2" x14ac:dyDescent="0.3">
      <c r="A117" s="5" t="s">
        <v>46</v>
      </c>
      <c r="B117" s="5" t="s">
        <v>323</v>
      </c>
    </row>
    <row r="118" spans="1:2" x14ac:dyDescent="0.3">
      <c r="A118" s="5" t="s">
        <v>53</v>
      </c>
      <c r="B118" s="5" t="s">
        <v>323</v>
      </c>
    </row>
    <row r="119" spans="1:2" x14ac:dyDescent="0.3">
      <c r="A119" s="5" t="s">
        <v>54</v>
      </c>
      <c r="B119" s="5" t="s">
        <v>324</v>
      </c>
    </row>
    <row r="120" spans="1:2" x14ac:dyDescent="0.3">
      <c r="A120" s="5" t="s">
        <v>55</v>
      </c>
      <c r="B120" s="5" t="s">
        <v>323</v>
      </c>
    </row>
    <row r="121" spans="1:2" x14ac:dyDescent="0.3">
      <c r="A121" s="5" t="s">
        <v>56</v>
      </c>
      <c r="B121" s="5" t="s">
        <v>323</v>
      </c>
    </row>
    <row r="122" spans="1:2" x14ac:dyDescent="0.3">
      <c r="A122" s="5" t="s">
        <v>57</v>
      </c>
      <c r="B122" s="5" t="s">
        <v>323</v>
      </c>
    </row>
    <row r="123" spans="1:2" x14ac:dyDescent="0.3">
      <c r="A123" s="5" t="s">
        <v>58</v>
      </c>
      <c r="B123" s="5" t="s">
        <v>324</v>
      </c>
    </row>
    <row r="124" spans="1:2" x14ac:dyDescent="0.3">
      <c r="A124" s="5" t="s">
        <v>49</v>
      </c>
      <c r="B124" s="5" t="s">
        <v>324</v>
      </c>
    </row>
    <row r="125" spans="1:2" x14ac:dyDescent="0.3">
      <c r="A125" s="5" t="s">
        <v>113</v>
      </c>
      <c r="B125" s="5" t="s">
        <v>323</v>
      </c>
    </row>
    <row r="126" spans="1:2" x14ac:dyDescent="0.3">
      <c r="A126" s="5" t="s">
        <v>117</v>
      </c>
      <c r="B126" s="5" t="s">
        <v>329</v>
      </c>
    </row>
    <row r="127" spans="1:2" x14ac:dyDescent="0.3">
      <c r="A127" s="5" t="s">
        <v>122</v>
      </c>
      <c r="B127" s="5" t="s">
        <v>325</v>
      </c>
    </row>
    <row r="128" spans="1:2" x14ac:dyDescent="0.3">
      <c r="A128" s="5" t="s">
        <v>127</v>
      </c>
      <c r="B128" s="5" t="s">
        <v>123</v>
      </c>
    </row>
    <row r="129" spans="1:2" x14ac:dyDescent="0.3">
      <c r="A129" s="5" t="s">
        <v>131</v>
      </c>
      <c r="B129" s="5" t="s">
        <v>118</v>
      </c>
    </row>
    <row r="130" spans="1:2" x14ac:dyDescent="0.3">
      <c r="A130" s="5" t="s">
        <v>133</v>
      </c>
      <c r="B130" s="5" t="s">
        <v>326</v>
      </c>
    </row>
    <row r="131" spans="1:2" x14ac:dyDescent="0.3">
      <c r="A131" s="5" t="s">
        <v>135</v>
      </c>
      <c r="B131" s="5" t="s">
        <v>124</v>
      </c>
    </row>
    <row r="132" spans="1:2" x14ac:dyDescent="0.3">
      <c r="A132" s="5" t="s">
        <v>139</v>
      </c>
      <c r="B132" s="5" t="s">
        <v>104</v>
      </c>
    </row>
    <row r="133" spans="1:2" x14ac:dyDescent="0.3">
      <c r="A133" s="5" t="s">
        <v>142</v>
      </c>
      <c r="B133" s="5" t="s">
        <v>97</v>
      </c>
    </row>
    <row r="134" spans="1:2" x14ac:dyDescent="0.3">
      <c r="A134" s="5" t="s">
        <v>146</v>
      </c>
      <c r="B134" s="5" t="s">
        <v>88</v>
      </c>
    </row>
    <row r="135" spans="1:2" x14ac:dyDescent="0.3">
      <c r="A135" s="5" t="s">
        <v>148</v>
      </c>
      <c r="B135" s="5" t="s">
        <v>60</v>
      </c>
    </row>
    <row r="136" spans="1:2" x14ac:dyDescent="0.3">
      <c r="A136" s="5" t="s">
        <v>151</v>
      </c>
      <c r="B136" s="5" t="s">
        <v>90</v>
      </c>
    </row>
    <row r="137" spans="1:2" x14ac:dyDescent="0.3">
      <c r="A137" s="5" t="s">
        <v>156</v>
      </c>
      <c r="B137" s="5" t="s">
        <v>65</v>
      </c>
    </row>
    <row r="138" spans="1:2" x14ac:dyDescent="0.3">
      <c r="A138" s="5" t="s">
        <v>160</v>
      </c>
      <c r="B138" s="5" t="s">
        <v>408</v>
      </c>
    </row>
    <row r="139" spans="1:2" x14ac:dyDescent="0.3">
      <c r="A139" s="5" t="s">
        <v>163</v>
      </c>
      <c r="B139" s="5" t="s">
        <v>85</v>
      </c>
    </row>
    <row r="140" spans="1:2" x14ac:dyDescent="0.3">
      <c r="A140" s="5" t="s">
        <v>164</v>
      </c>
      <c r="B140" s="5" t="s">
        <v>85</v>
      </c>
    </row>
    <row r="141" spans="1:2" x14ac:dyDescent="0.3">
      <c r="A141" s="5" t="s">
        <v>165</v>
      </c>
      <c r="B141" s="5" t="s">
        <v>69</v>
      </c>
    </row>
    <row r="142" spans="1:2" x14ac:dyDescent="0.3">
      <c r="A142" s="5" t="s">
        <v>168</v>
      </c>
      <c r="B142" s="5" t="s">
        <v>69</v>
      </c>
    </row>
    <row r="143" spans="1:2" x14ac:dyDescent="0.3">
      <c r="A143" s="5" t="s">
        <v>169</v>
      </c>
      <c r="B143" s="5" t="s">
        <v>69</v>
      </c>
    </row>
    <row r="144" spans="1:2" x14ac:dyDescent="0.3">
      <c r="A144" s="5" t="s">
        <v>172</v>
      </c>
      <c r="B144" s="5" t="s">
        <v>115</v>
      </c>
    </row>
    <row r="145" spans="1:2" x14ac:dyDescent="0.3">
      <c r="A145" s="5" t="s">
        <v>174</v>
      </c>
      <c r="B145" s="5" t="s">
        <v>137</v>
      </c>
    </row>
    <row r="146" spans="1:2" x14ac:dyDescent="0.3">
      <c r="A146" s="5" t="s">
        <v>176</v>
      </c>
      <c r="B146" s="5" t="s">
        <v>91</v>
      </c>
    </row>
    <row r="147" spans="1:2" x14ac:dyDescent="0.3">
      <c r="A147" s="5" t="s">
        <v>178</v>
      </c>
      <c r="B147" s="5" t="s">
        <v>331</v>
      </c>
    </row>
    <row r="148" spans="1:2" x14ac:dyDescent="0.3">
      <c r="A148" s="5" t="s">
        <v>179</v>
      </c>
      <c r="B148" s="5" t="s">
        <v>140</v>
      </c>
    </row>
    <row r="149" spans="1:2" x14ac:dyDescent="0.3">
      <c r="A149" s="5" t="s">
        <v>180</v>
      </c>
      <c r="B149" s="5" t="s">
        <v>106</v>
      </c>
    </row>
    <row r="150" spans="1:2" x14ac:dyDescent="0.3">
      <c r="A150" s="5" t="s">
        <v>181</v>
      </c>
      <c r="B150" s="5" t="s">
        <v>125</v>
      </c>
    </row>
    <row r="151" spans="1:2" x14ac:dyDescent="0.3">
      <c r="A151" s="5" t="s">
        <v>182</v>
      </c>
      <c r="B151" s="5" t="s">
        <v>335</v>
      </c>
    </row>
    <row r="152" spans="1:2" x14ac:dyDescent="0.3">
      <c r="A152" s="5" t="s">
        <v>184</v>
      </c>
      <c r="B152" s="5" t="s">
        <v>141</v>
      </c>
    </row>
    <row r="153" spans="1:2" x14ac:dyDescent="0.3">
      <c r="A153" s="5" t="s">
        <v>185</v>
      </c>
      <c r="B153" s="5" t="s">
        <v>126</v>
      </c>
    </row>
    <row r="154" spans="1:2" x14ac:dyDescent="0.3">
      <c r="A154" s="5" t="s">
        <v>186</v>
      </c>
      <c r="B154" s="5" t="s">
        <v>166</v>
      </c>
    </row>
    <row r="155" spans="1:2" x14ac:dyDescent="0.3">
      <c r="A155" s="5" t="s">
        <v>189</v>
      </c>
      <c r="B155" s="5" t="s">
        <v>162</v>
      </c>
    </row>
    <row r="156" spans="1:2" x14ac:dyDescent="0.3">
      <c r="A156" s="5" t="s">
        <v>192</v>
      </c>
      <c r="B156" s="5" t="s">
        <v>129</v>
      </c>
    </row>
    <row r="157" spans="1:2" x14ac:dyDescent="0.3">
      <c r="A157" s="5" t="s">
        <v>194</v>
      </c>
      <c r="B157" s="5" t="s">
        <v>157</v>
      </c>
    </row>
    <row r="158" spans="1:2" x14ac:dyDescent="0.3">
      <c r="A158" s="5" t="s">
        <v>197</v>
      </c>
      <c r="B158" s="5" t="s">
        <v>100</v>
      </c>
    </row>
    <row r="159" spans="1:2" x14ac:dyDescent="0.3">
      <c r="A159" s="5" t="s">
        <v>200</v>
      </c>
      <c r="B159" s="5" t="s">
        <v>378</v>
      </c>
    </row>
    <row r="160" spans="1:2" x14ac:dyDescent="0.3">
      <c r="A160" s="5" t="s">
        <v>203</v>
      </c>
      <c r="B160" s="5" t="s">
        <v>158</v>
      </c>
    </row>
    <row r="161" spans="1:2" x14ac:dyDescent="0.3">
      <c r="A161" s="5" t="s">
        <v>205</v>
      </c>
      <c r="B161" s="5" t="s">
        <v>132</v>
      </c>
    </row>
    <row r="162" spans="1:2" x14ac:dyDescent="0.3">
      <c r="A162" s="5" t="s">
        <v>207</v>
      </c>
      <c r="B162" s="5" t="s">
        <v>422</v>
      </c>
    </row>
    <row r="163" spans="1:2" x14ac:dyDescent="0.3">
      <c r="A163" s="5" t="s">
        <v>209</v>
      </c>
      <c r="B163" s="5" t="s">
        <v>336</v>
      </c>
    </row>
    <row r="164" spans="1:2" x14ac:dyDescent="0.3">
      <c r="A164" s="5" t="s">
        <v>211</v>
      </c>
      <c r="B164" s="5" t="s">
        <v>448</v>
      </c>
    </row>
    <row r="165" spans="1:2" x14ac:dyDescent="0.3">
      <c r="A165" s="5" t="s">
        <v>213</v>
      </c>
      <c r="B165" s="5" t="s">
        <v>183</v>
      </c>
    </row>
    <row r="166" spans="1:2" x14ac:dyDescent="0.3">
      <c r="A166" s="5" t="s">
        <v>216</v>
      </c>
      <c r="B166" s="5" t="s">
        <v>190</v>
      </c>
    </row>
    <row r="167" spans="1:2" x14ac:dyDescent="0.3">
      <c r="A167" s="5" t="s">
        <v>219</v>
      </c>
      <c r="B167" s="5" t="s">
        <v>351</v>
      </c>
    </row>
    <row r="168" spans="1:2" x14ac:dyDescent="0.3">
      <c r="A168" s="5" t="s">
        <v>222</v>
      </c>
      <c r="B168" s="5" t="s">
        <v>389</v>
      </c>
    </row>
    <row r="169" spans="1:2" x14ac:dyDescent="0.3">
      <c r="A169" s="5" t="s">
        <v>224</v>
      </c>
      <c r="B169" s="5" t="s">
        <v>391</v>
      </c>
    </row>
    <row r="170" spans="1:2" x14ac:dyDescent="0.3">
      <c r="A170" s="5" t="s">
        <v>227</v>
      </c>
      <c r="B170" s="5" t="s">
        <v>449</v>
      </c>
    </row>
    <row r="171" spans="1:2" x14ac:dyDescent="0.3">
      <c r="A171" s="5" t="s">
        <v>229</v>
      </c>
      <c r="B171" s="5" t="s">
        <v>195</v>
      </c>
    </row>
    <row r="172" spans="1:2" x14ac:dyDescent="0.3">
      <c r="A172" s="5" t="s">
        <v>231</v>
      </c>
      <c r="B172" s="5" t="s">
        <v>450</v>
      </c>
    </row>
    <row r="173" spans="1:2" x14ac:dyDescent="0.3">
      <c r="A173" s="5" t="s">
        <v>233</v>
      </c>
      <c r="B173" s="5" t="s">
        <v>159</v>
      </c>
    </row>
    <row r="174" spans="1:2" x14ac:dyDescent="0.3">
      <c r="A174" s="5" t="s">
        <v>235</v>
      </c>
      <c r="B174" s="5" t="s">
        <v>451</v>
      </c>
    </row>
    <row r="175" spans="1:2" x14ac:dyDescent="0.3">
      <c r="A175" s="5" t="s">
        <v>237</v>
      </c>
      <c r="B175" s="5" t="s">
        <v>452</v>
      </c>
    </row>
    <row r="176" spans="1:2" x14ac:dyDescent="0.3">
      <c r="A176" s="5" t="s">
        <v>239</v>
      </c>
      <c r="B176" s="5" t="s">
        <v>453</v>
      </c>
    </row>
    <row r="177" spans="1:2" x14ac:dyDescent="0.3">
      <c r="A177" s="5" t="s">
        <v>241</v>
      </c>
      <c r="B177" s="5" t="s">
        <v>217</v>
      </c>
    </row>
    <row r="178" spans="1:2" x14ac:dyDescent="0.3">
      <c r="A178" s="5" t="s">
        <v>243</v>
      </c>
      <c r="B178" s="5" t="s">
        <v>454</v>
      </c>
    </row>
    <row r="179" spans="1:2" x14ac:dyDescent="0.3">
      <c r="A179" s="5" t="s">
        <v>245</v>
      </c>
      <c r="B179" s="5" t="s">
        <v>177</v>
      </c>
    </row>
    <row r="180" spans="1:2" x14ac:dyDescent="0.3">
      <c r="A180" s="5" t="s">
        <v>247</v>
      </c>
      <c r="B180" s="5" t="s">
        <v>455</v>
      </c>
    </row>
    <row r="181" spans="1:2" x14ac:dyDescent="0.3">
      <c r="A181" s="5" t="s">
        <v>249</v>
      </c>
      <c r="B181" s="5" t="s">
        <v>220</v>
      </c>
    </row>
    <row r="182" spans="1:2" x14ac:dyDescent="0.3">
      <c r="A182" s="5" t="s">
        <v>251</v>
      </c>
      <c r="B182" s="5" t="s">
        <v>456</v>
      </c>
    </row>
    <row r="183" spans="1:2" x14ac:dyDescent="0.3">
      <c r="A183" s="5" t="s">
        <v>253</v>
      </c>
      <c r="B183" s="5" t="s">
        <v>457</v>
      </c>
    </row>
    <row r="184" spans="1:2" x14ac:dyDescent="0.3">
      <c r="A184" s="5" t="s">
        <v>255</v>
      </c>
      <c r="B184" s="5" t="s">
        <v>458</v>
      </c>
    </row>
    <row r="185" spans="1:2" x14ac:dyDescent="0.3">
      <c r="A185" s="5" t="s">
        <v>257</v>
      </c>
      <c r="B185" s="5" t="s">
        <v>459</v>
      </c>
    </row>
    <row r="186" spans="1:2" x14ac:dyDescent="0.3">
      <c r="A186" s="5" t="s">
        <v>259</v>
      </c>
      <c r="B186" s="5" t="s">
        <v>460</v>
      </c>
    </row>
    <row r="187" spans="1:2" x14ac:dyDescent="0.3">
      <c r="A187" s="5" t="s">
        <v>261</v>
      </c>
      <c r="B187" s="5" t="s">
        <v>461</v>
      </c>
    </row>
    <row r="188" spans="1:2" x14ac:dyDescent="0.3">
      <c r="A188" s="5" t="s">
        <v>263</v>
      </c>
      <c r="B188" s="5" t="s">
        <v>462</v>
      </c>
    </row>
    <row r="189" spans="1:2" x14ac:dyDescent="0.3">
      <c r="A189" s="5" t="s">
        <v>264</v>
      </c>
      <c r="B189" s="5" t="s">
        <v>463</v>
      </c>
    </row>
    <row r="190" spans="1:2" x14ac:dyDescent="0.3">
      <c r="A190" s="5" t="s">
        <v>265</v>
      </c>
      <c r="B190" s="5" t="s">
        <v>464</v>
      </c>
    </row>
    <row r="191" spans="1:2" x14ac:dyDescent="0.3">
      <c r="A191" s="5" t="s">
        <v>266</v>
      </c>
      <c r="B191" s="5" t="s">
        <v>465</v>
      </c>
    </row>
    <row r="192" spans="1:2" x14ac:dyDescent="0.3">
      <c r="A192" s="5" t="s">
        <v>267</v>
      </c>
      <c r="B192" s="5" t="s">
        <v>466</v>
      </c>
    </row>
    <row r="193" spans="1:2" x14ac:dyDescent="0.3">
      <c r="A193" s="5" t="s">
        <v>268</v>
      </c>
      <c r="B193" s="5" t="s">
        <v>467</v>
      </c>
    </row>
    <row r="194" spans="1:2" x14ac:dyDescent="0.3">
      <c r="A194" s="5" t="s">
        <v>48</v>
      </c>
      <c r="B194" s="5" t="s">
        <v>468</v>
      </c>
    </row>
    <row r="195" spans="1:2" x14ac:dyDescent="0.3">
      <c r="A195" s="5" t="s">
        <v>295</v>
      </c>
      <c r="B195" s="5" t="s">
        <v>469</v>
      </c>
    </row>
    <row r="196" spans="1:2" x14ac:dyDescent="0.3">
      <c r="A196" s="5" t="s">
        <v>296</v>
      </c>
      <c r="B196" s="5" t="s">
        <v>470</v>
      </c>
    </row>
    <row r="197" spans="1:2" x14ac:dyDescent="0.3">
      <c r="A197" s="5" t="s">
        <v>297</v>
      </c>
      <c r="B197" s="5" t="s">
        <v>471</v>
      </c>
    </row>
    <row r="198" spans="1:2" x14ac:dyDescent="0.3">
      <c r="A198" s="5" t="s">
        <v>298</v>
      </c>
      <c r="B198" s="5" t="s">
        <v>472</v>
      </c>
    </row>
    <row r="199" spans="1:2" x14ac:dyDescent="0.3">
      <c r="A199" s="5" t="s">
        <v>299</v>
      </c>
      <c r="B199" s="5" t="s">
        <v>390</v>
      </c>
    </row>
    <row r="200" spans="1:2" x14ac:dyDescent="0.3">
      <c r="A200" s="5" t="s">
        <v>300</v>
      </c>
      <c r="B200" s="5" t="s">
        <v>392</v>
      </c>
    </row>
    <row r="201" spans="1:2" x14ac:dyDescent="0.3">
      <c r="A201" s="5" t="s">
        <v>301</v>
      </c>
      <c r="B201" s="5" t="s">
        <v>393</v>
      </c>
    </row>
    <row r="202" spans="1:2" x14ac:dyDescent="0.3">
      <c r="A202" s="5" t="s">
        <v>302</v>
      </c>
      <c r="B202" s="5" t="s">
        <v>394</v>
      </c>
    </row>
    <row r="203" spans="1:2" x14ac:dyDescent="0.3">
      <c r="A203" s="5" t="s">
        <v>303</v>
      </c>
      <c r="B203" s="5" t="s">
        <v>395</v>
      </c>
    </row>
    <row r="204" spans="1:2" x14ac:dyDescent="0.3">
      <c r="A204" s="5" t="s">
        <v>304</v>
      </c>
      <c r="B204" s="5" t="s">
        <v>396</v>
      </c>
    </row>
    <row r="205" spans="1:2" x14ac:dyDescent="0.3">
      <c r="A205" s="5" t="s">
        <v>305</v>
      </c>
      <c r="B205" s="5" t="s">
        <v>397</v>
      </c>
    </row>
    <row r="206" spans="1:2" x14ac:dyDescent="0.3">
      <c r="A206" s="5" t="s">
        <v>306</v>
      </c>
      <c r="B206" s="5" t="s">
        <v>398</v>
      </c>
    </row>
    <row r="207" spans="1:2" x14ac:dyDescent="0.3">
      <c r="A207" s="5" t="s">
        <v>307</v>
      </c>
      <c r="B207" s="5" t="s">
        <v>399</v>
      </c>
    </row>
    <row r="208" spans="1:2" x14ac:dyDescent="0.3">
      <c r="A208" s="5" t="s">
        <v>308</v>
      </c>
      <c r="B208" s="5" t="s">
        <v>400</v>
      </c>
    </row>
    <row r="209" spans="1:2" x14ac:dyDescent="0.3">
      <c r="A209" s="5" t="s">
        <v>309</v>
      </c>
      <c r="B209" s="5" t="s">
        <v>401</v>
      </c>
    </row>
    <row r="210" spans="1:2" x14ac:dyDescent="0.3">
      <c r="A210" s="5" t="s">
        <v>310</v>
      </c>
      <c r="B210" s="5" t="s">
        <v>402</v>
      </c>
    </row>
    <row r="211" spans="1:2" x14ac:dyDescent="0.3">
      <c r="A211" s="5" t="s">
        <v>311</v>
      </c>
      <c r="B211" s="5" t="s">
        <v>262</v>
      </c>
    </row>
    <row r="212" spans="1:2" x14ac:dyDescent="0.3">
      <c r="A212" s="5" t="s">
        <v>312</v>
      </c>
      <c r="B212" s="5" t="s">
        <v>262</v>
      </c>
    </row>
    <row r="213" spans="1:2" x14ac:dyDescent="0.3">
      <c r="A213" s="5" t="s">
        <v>313</v>
      </c>
      <c r="B213" s="5" t="s">
        <v>262</v>
      </c>
    </row>
    <row r="214" spans="1:2" x14ac:dyDescent="0.3">
      <c r="A214" s="5" t="s">
        <v>314</v>
      </c>
      <c r="B214" s="5" t="s">
        <v>262</v>
      </c>
    </row>
    <row r="215" spans="1:2" x14ac:dyDescent="0.3">
      <c r="A215" s="5" t="s">
        <v>315</v>
      </c>
      <c r="B215" s="5" t="s">
        <v>262</v>
      </c>
    </row>
    <row r="216" spans="1:2" x14ac:dyDescent="0.3">
      <c r="A216" s="5" t="s">
        <v>316</v>
      </c>
      <c r="B216" s="5" t="s">
        <v>262</v>
      </c>
    </row>
    <row r="217" spans="1:2" x14ac:dyDescent="0.3">
      <c r="A217" s="5" t="s">
        <v>317</v>
      </c>
      <c r="B217" s="5" t="s">
        <v>262</v>
      </c>
    </row>
    <row r="218" spans="1:2" x14ac:dyDescent="0.3">
      <c r="A218" s="5" t="s">
        <v>318</v>
      </c>
      <c r="B218" s="5" t="s">
        <v>262</v>
      </c>
    </row>
    <row r="219" spans="1:2" x14ac:dyDescent="0.3">
      <c r="A219" s="5" t="s">
        <v>270</v>
      </c>
      <c r="B219" s="5" t="s">
        <v>262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Assumptions</vt:lpstr>
      <vt:lpstr>PremiumCalculation</vt:lpstr>
      <vt:lpstr>PremiumTable</vt:lpstr>
      <vt:lpstr>SensitivityAnalysis</vt:lpstr>
      <vt:lpstr>PolicyholdersSimulation</vt:lpstr>
      <vt:lpstr>MotalityTable_MaleSmoker</vt:lpstr>
      <vt:lpstr>MortalityTable_FemaleSmoker</vt:lpstr>
      <vt:lpstr>MortalityTable_MaleNonsmoker</vt:lpstr>
      <vt:lpstr>MortalityTable_FemaleNonSmoker</vt:lpstr>
      <vt:lpstr>face_amount</vt:lpstr>
      <vt:lpstr>FemaleNonsmoker</vt:lpstr>
      <vt:lpstr>FemaleSmoker</vt:lpstr>
      <vt:lpstr>interest_rate</vt:lpstr>
      <vt:lpstr>issue_expense</vt:lpstr>
      <vt:lpstr>lapse_rate</vt:lpstr>
      <vt:lpstr>maintenance_expense</vt:lpstr>
      <vt:lpstr>MaleNonsmoker</vt:lpstr>
      <vt:lpstr>MaleSmoker</vt:lpstr>
      <vt:lpstr>num_max</vt:lpstr>
      <vt:lpstr>num_min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Chong</dc:creator>
  <cp:lastModifiedBy>Yaow Hui Chong</cp:lastModifiedBy>
  <dcterms:created xsi:type="dcterms:W3CDTF">2015-06-05T18:17:20Z</dcterms:created>
  <dcterms:modified xsi:type="dcterms:W3CDTF">2023-06-08T21:26:07Z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d8c93d27-15f3-48f6-a9ca-7aa1f5364dbb</vt:lpwstr>
  </property>
</Properties>
</file>